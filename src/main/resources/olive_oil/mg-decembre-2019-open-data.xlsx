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showHorizontalScroll="0" showVerticalScroll="0" showSheetTabs="0" windowWidth="28800" windowHeight="12180" tabRatio="585"/>
  </bookViews>
  <sheets>
    <sheet name="Données" sheetId="1" r:id="rId1"/>
  </sheets>
  <definedNames>
    <definedName name="_xlnm.Print_Area" localSheetId="0">Données!$A$1:$T$33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<sst xmlns="http://schemas.openxmlformats.org/spreadsheetml/2006/main" count="26" uniqueCount="24">
  <si>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date</t>
  </si>
  <si>
    <t>Qté-Tonne Sfax</t>
  </si>
  <si>
    <t>Px-min-sfax</t>
  </si>
  <si>
    <t>Px-max-sfax</t>
  </si>
  <si>
    <t>Qté-Tonne-centre</t>
  </si>
  <si>
    <t>Px-min-centre</t>
  </si>
  <si>
    <t>Px-max-centre</t>
  </si>
  <si>
    <t>Qté-Tonne-sahel</t>
  </si>
  <si>
    <t>Px-min-sahel</t>
  </si>
  <si>
    <t>Px-max-sahel</t>
  </si>
  <si>
    <t>Qté-Tonne-nord</t>
  </si>
  <si>
    <t>Px-min-nord</t>
  </si>
  <si>
    <t>Px-max-nord</t>
  </si>
  <si>
    <t>Qté-Tonne-sud</t>
  </si>
  <si>
    <t>Px-min-sud</t>
  </si>
  <si>
    <t>Px-max-sud</t>
  </si>
  <si>
    <t>Qté-Tone-cumul</t>
  </si>
  <si>
    <t>Px-min-cumul</t>
  </si>
  <si>
    <t>Px-max-cumul</t>
  </si>
  <si>
    <t>Px-Fréq</t>
  </si>
  <si>
    <t>900-1050</t>
  </si>
  <si>
    <t>850-950</t>
  </si>
  <si>
    <t>900-1000</t>
  </si>
  <si>
    <t>920-1020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</si>
</sst>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/>
    <xf numFmtId="0" fontId="1" fillId="0" borderId="0" xfId="0" applyFont="1" applyAlignment="1">
      <alignment horizontal="center"/>
    </xf>
    <xf numFmtId="0" fontId="1" fillId="0" borderId="0" xfId="0" applyFont="1" applyBorder="1"/>
    <xf numFmtId="0" fontId="1" fillId="0" borderId="0" xfId="0" applyFont="1"/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5" fontId="1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5" fontId="1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5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0" xfId="0" applyFont="1" applyFill="1"/>
    <xf numFmtId="0" fontId="1" fillId="0" borderId="0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2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N1736"/>
  <sheetViews>
    <sheetView tabSelected="1" workbookViewId="0">
      <selection activeCell="T32" sqref="A1:T32"/>
    </sheetView>
  </sheetViews>
  <sheetFormatPr defaultColWidth="11" defaultRowHeight="12.75"/>
  <cols>
    <col min="1" max="1" width="20" style="4" customWidth="1"/>
    <col min="2" max="10" width="10.5714285714286" style="4" customWidth="1"/>
    <col min="11" max="11" width="11.4285714285714" style="4" customWidth="1"/>
    <col min="12" max="20" width="10.5714285714286" style="4" customWidth="1"/>
    <col min="21" max="1756" width="11.4285714285714" style="5"/>
    <col min="1757" max="16384" width="11.4285714285714" style="6"/>
  </cols>
  <sheetData>
    <row r="1" s="1" customFormat="1" ht="18" customHeight="1" spans="1:1756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  <c r="DN1" s="23"/>
      <c r="DO1" s="23"/>
      <c r="DP1" s="23"/>
      <c r="DQ1" s="23"/>
      <c r="DR1" s="23"/>
      <c r="DS1" s="23"/>
      <c r="DT1" s="23"/>
      <c r="DU1" s="23"/>
      <c r="DV1" s="23"/>
      <c r="DW1" s="23"/>
      <c r="DX1" s="23"/>
      <c r="DY1" s="23"/>
      <c r="DZ1" s="23"/>
      <c r="EA1" s="23"/>
      <c r="EB1" s="23"/>
      <c r="EC1" s="23"/>
      <c r="ED1" s="23"/>
      <c r="EE1" s="23"/>
      <c r="EF1" s="23"/>
      <c r="EG1" s="23"/>
      <c r="EH1" s="23"/>
      <c r="EI1" s="23"/>
      <c r="EJ1" s="23"/>
      <c r="EK1" s="23"/>
      <c r="EL1" s="23"/>
      <c r="EM1" s="23"/>
      <c r="EN1" s="23"/>
      <c r="EO1" s="23"/>
      <c r="EP1" s="23"/>
      <c r="EQ1" s="23"/>
      <c r="ER1" s="23"/>
      <c r="ES1" s="23"/>
      <c r="ET1" s="23"/>
      <c r="EU1" s="23"/>
      <c r="EV1" s="23"/>
      <c r="EW1" s="23"/>
      <c r="EX1" s="23"/>
      <c r="EY1" s="23"/>
      <c r="EZ1" s="23"/>
      <c r="FA1" s="23"/>
      <c r="FB1" s="23"/>
      <c r="FC1" s="23"/>
      <c r="FD1" s="23"/>
      <c r="FE1" s="23"/>
      <c r="FF1" s="23"/>
      <c r="FG1" s="23"/>
      <c r="FH1" s="23"/>
      <c r="FI1" s="23"/>
      <c r="FJ1" s="23"/>
      <c r="FK1" s="23"/>
      <c r="FL1" s="23"/>
      <c r="FM1" s="23"/>
      <c r="FN1" s="23"/>
      <c r="FO1" s="23"/>
      <c r="FP1" s="23"/>
      <c r="FQ1" s="23"/>
      <c r="FR1" s="23"/>
      <c r="FS1" s="23"/>
      <c r="FT1" s="23"/>
      <c r="FU1" s="23"/>
      <c r="FV1" s="23"/>
      <c r="FW1" s="23"/>
      <c r="FX1" s="23"/>
      <c r="FY1" s="23"/>
      <c r="FZ1" s="23"/>
      <c r="GA1" s="23"/>
      <c r="GB1" s="23"/>
      <c r="GC1" s="23"/>
      <c r="GD1" s="23"/>
      <c r="GE1" s="23"/>
      <c r="GF1" s="23"/>
      <c r="GG1" s="23"/>
      <c r="GH1" s="23"/>
      <c r="GI1" s="23"/>
      <c r="GJ1" s="23"/>
      <c r="GK1" s="23"/>
      <c r="GL1" s="23"/>
      <c r="GM1" s="23"/>
      <c r="GN1" s="23"/>
      <c r="GO1" s="23"/>
      <c r="GP1" s="23"/>
      <c r="GQ1" s="23"/>
      <c r="GR1" s="23"/>
      <c r="GS1" s="23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23"/>
      <c r="MF1" s="23"/>
      <c r="MG1" s="23"/>
      <c r="MH1" s="23"/>
      <c r="MI1" s="23"/>
      <c r="MJ1" s="23"/>
      <c r="MK1" s="23"/>
      <c r="ML1" s="23"/>
      <c r="MM1" s="23"/>
      <c r="MN1" s="23"/>
      <c r="MO1" s="23"/>
      <c r="MP1" s="23"/>
      <c r="MQ1" s="23"/>
      <c r="MR1" s="23"/>
      <c r="MS1" s="23"/>
      <c r="MT1" s="23"/>
      <c r="MU1" s="23"/>
      <c r="MV1" s="23"/>
      <c r="MW1" s="23"/>
      <c r="MX1" s="23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23"/>
      <c r="OQ1" s="23"/>
      <c r="OR1" s="23"/>
      <c r="OS1" s="23"/>
      <c r="OT1" s="23"/>
      <c r="OU1" s="23"/>
      <c r="OV1" s="23"/>
      <c r="OW1" s="23"/>
      <c r="OX1" s="23"/>
      <c r="OY1" s="23"/>
      <c r="OZ1" s="23"/>
      <c r="PA1" s="23"/>
      <c r="PB1" s="23"/>
      <c r="PC1" s="23"/>
      <c r="PD1" s="23"/>
      <c r="PE1" s="23"/>
      <c r="PF1" s="23"/>
      <c r="PG1" s="23"/>
      <c r="PH1" s="23"/>
      <c r="PI1" s="23"/>
      <c r="PJ1" s="23"/>
      <c r="PK1" s="23"/>
      <c r="PL1" s="23"/>
      <c r="PM1" s="23"/>
      <c r="PN1" s="23"/>
      <c r="PO1" s="23"/>
      <c r="PP1" s="23"/>
      <c r="PQ1" s="23"/>
      <c r="PR1" s="23"/>
      <c r="PS1" s="23"/>
      <c r="PT1" s="23"/>
      <c r="PU1" s="23"/>
      <c r="PV1" s="23"/>
      <c r="PW1" s="23"/>
      <c r="PX1" s="23"/>
      <c r="PY1" s="23"/>
      <c r="PZ1" s="23"/>
      <c r="QA1" s="23"/>
      <c r="QB1" s="23"/>
      <c r="QC1" s="23"/>
      <c r="QD1" s="23"/>
      <c r="QE1" s="23"/>
      <c r="QF1" s="23"/>
      <c r="QG1" s="23"/>
      <c r="QH1" s="23"/>
      <c r="QI1" s="23"/>
      <c r="QJ1" s="23"/>
      <c r="QK1" s="23"/>
      <c r="QL1" s="23"/>
      <c r="QM1" s="23"/>
      <c r="QN1" s="23"/>
      <c r="QO1" s="23"/>
      <c r="QP1" s="23"/>
      <c r="QQ1" s="23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  <c r="SH1" s="23"/>
      <c r="SI1" s="23"/>
      <c r="SJ1" s="23"/>
      <c r="SK1" s="23"/>
      <c r="SL1" s="23"/>
      <c r="SM1" s="23"/>
      <c r="SN1" s="23"/>
      <c r="SO1" s="23"/>
      <c r="SP1" s="23"/>
      <c r="SQ1" s="23"/>
      <c r="SR1" s="23"/>
      <c r="SS1" s="23"/>
      <c r="ST1" s="23"/>
      <c r="SU1" s="23"/>
      <c r="SV1" s="23"/>
      <c r="SW1" s="23"/>
      <c r="SX1" s="23"/>
      <c r="SY1" s="23"/>
      <c r="SZ1" s="23"/>
      <c r="TA1" s="23"/>
      <c r="TB1" s="23"/>
      <c r="TC1" s="23"/>
      <c r="TD1" s="23"/>
      <c r="TE1" s="23"/>
      <c r="TF1" s="23"/>
      <c r="TG1" s="23"/>
      <c r="TH1" s="23"/>
      <c r="TI1" s="23"/>
      <c r="TJ1" s="23"/>
      <c r="TK1" s="23"/>
      <c r="TL1" s="23"/>
      <c r="TM1" s="23"/>
      <c r="TN1" s="23"/>
      <c r="TO1" s="23"/>
      <c r="TP1" s="23"/>
      <c r="TQ1" s="23"/>
      <c r="TR1" s="23"/>
      <c r="TS1" s="23"/>
      <c r="TT1" s="23"/>
      <c r="TU1" s="23"/>
      <c r="TV1" s="23"/>
      <c r="TW1" s="23"/>
      <c r="TX1" s="23"/>
      <c r="TY1" s="23"/>
      <c r="TZ1" s="23"/>
      <c r="UA1" s="23"/>
      <c r="UB1" s="23"/>
      <c r="UC1" s="23"/>
      <c r="UD1" s="23"/>
      <c r="UE1" s="23"/>
      <c r="UF1" s="23"/>
      <c r="UG1" s="23"/>
      <c r="UH1" s="23"/>
      <c r="UI1" s="23"/>
      <c r="UJ1" s="23"/>
      <c r="UK1" s="23"/>
      <c r="UL1" s="23"/>
      <c r="UM1" s="23"/>
      <c r="UN1" s="23"/>
      <c r="UO1" s="23"/>
      <c r="UP1" s="23"/>
      <c r="UQ1" s="23"/>
      <c r="UR1" s="23"/>
      <c r="US1" s="23"/>
      <c r="UT1" s="23"/>
      <c r="UU1" s="23"/>
      <c r="UV1" s="23"/>
      <c r="UW1" s="23"/>
      <c r="UX1" s="23"/>
      <c r="UY1" s="23"/>
      <c r="UZ1" s="23"/>
      <c r="VA1" s="23"/>
      <c r="VB1" s="23"/>
      <c r="VC1" s="23"/>
      <c r="VD1" s="23"/>
      <c r="VE1" s="23"/>
      <c r="VF1" s="23"/>
      <c r="VG1" s="23"/>
      <c r="VH1" s="23"/>
      <c r="VI1" s="23"/>
      <c r="VJ1" s="23"/>
      <c r="VK1" s="23"/>
      <c r="VL1" s="23"/>
      <c r="VM1" s="23"/>
      <c r="VN1" s="23"/>
      <c r="VO1" s="23"/>
      <c r="VP1" s="23"/>
      <c r="VQ1" s="23"/>
      <c r="VR1" s="23"/>
      <c r="VS1" s="23"/>
      <c r="VT1" s="23"/>
      <c r="VU1" s="23"/>
      <c r="VV1" s="23"/>
      <c r="VW1" s="23"/>
      <c r="VX1" s="23"/>
      <c r="VY1" s="23"/>
      <c r="VZ1" s="23"/>
      <c r="WA1" s="23"/>
      <c r="WB1" s="23"/>
      <c r="WC1" s="23"/>
      <c r="WD1" s="23"/>
      <c r="WE1" s="23"/>
      <c r="WF1" s="23"/>
      <c r="WG1" s="23"/>
      <c r="WH1" s="23"/>
      <c r="WI1" s="23"/>
      <c r="WJ1" s="23"/>
      <c r="WK1" s="23"/>
      <c r="WL1" s="23"/>
      <c r="WM1" s="23"/>
      <c r="WN1" s="23"/>
      <c r="WO1" s="23"/>
      <c r="WP1" s="23"/>
      <c r="WQ1" s="23"/>
      <c r="WR1" s="23"/>
      <c r="WS1" s="23"/>
      <c r="WT1" s="23"/>
      <c r="WU1" s="23"/>
      <c r="WV1" s="23"/>
      <c r="WW1" s="23"/>
      <c r="WX1" s="23"/>
      <c r="WY1" s="23"/>
      <c r="WZ1" s="23"/>
      <c r="XA1" s="23"/>
      <c r="XB1" s="23"/>
      <c r="XC1" s="23"/>
      <c r="XD1" s="23"/>
      <c r="XE1" s="23"/>
      <c r="XF1" s="23"/>
      <c r="XG1" s="23"/>
      <c r="XH1" s="23"/>
      <c r="XI1" s="23"/>
      <c r="XJ1" s="23"/>
      <c r="XK1" s="23"/>
      <c r="XL1" s="23"/>
      <c r="XM1" s="23"/>
      <c r="XN1" s="23"/>
      <c r="XO1" s="23"/>
      <c r="XP1" s="23"/>
      <c r="XQ1" s="23"/>
      <c r="XR1" s="23"/>
      <c r="XS1" s="23"/>
      <c r="XT1" s="23"/>
      <c r="XU1" s="23"/>
      <c r="XV1" s="23"/>
      <c r="XW1" s="23"/>
      <c r="XX1" s="23"/>
      <c r="XY1" s="23"/>
      <c r="XZ1" s="23"/>
      <c r="YA1" s="23"/>
      <c r="YB1" s="23"/>
      <c r="YC1" s="23"/>
      <c r="YD1" s="23"/>
      <c r="YE1" s="23"/>
      <c r="YF1" s="23"/>
      <c r="YG1" s="23"/>
      <c r="YH1" s="23"/>
      <c r="YI1" s="23"/>
      <c r="YJ1" s="23"/>
      <c r="YK1" s="23"/>
      <c r="YL1" s="23"/>
      <c r="YM1" s="23"/>
      <c r="YN1" s="23"/>
      <c r="YO1" s="23"/>
      <c r="YP1" s="23"/>
      <c r="YQ1" s="23"/>
      <c r="YR1" s="23"/>
      <c r="YS1" s="23"/>
      <c r="YT1" s="23"/>
      <c r="YU1" s="23"/>
      <c r="YV1" s="23"/>
      <c r="YW1" s="23"/>
      <c r="YX1" s="23"/>
      <c r="YY1" s="23"/>
      <c r="YZ1" s="23"/>
      <c r="ZA1" s="23"/>
      <c r="ZB1" s="23"/>
      <c r="ZC1" s="23"/>
      <c r="ZD1" s="23"/>
      <c r="ZE1" s="23"/>
      <c r="ZF1" s="23"/>
      <c r="ZG1" s="23"/>
      <c r="ZH1" s="23"/>
      <c r="ZI1" s="23"/>
      <c r="ZJ1" s="23"/>
      <c r="ZK1" s="23"/>
      <c r="ZL1" s="23"/>
      <c r="ZM1" s="23"/>
      <c r="ZN1" s="23"/>
      <c r="ZO1" s="23"/>
      <c r="ZP1" s="23"/>
      <c r="ZQ1" s="23"/>
      <c r="ZR1" s="23"/>
      <c r="ZS1" s="23"/>
      <c r="ZT1" s="23"/>
      <c r="ZU1" s="23"/>
      <c r="ZV1" s="23"/>
      <c r="ZW1" s="23"/>
      <c r="ZX1" s="23"/>
      <c r="ZY1" s="23"/>
      <c r="ZZ1" s="23"/>
      <c r="AAA1" s="23"/>
      <c r="AAB1" s="23"/>
      <c r="AAC1" s="23"/>
      <c r="AAD1" s="23"/>
      <c r="AAE1" s="23"/>
      <c r="AAF1" s="23"/>
      <c r="AAG1" s="23"/>
      <c r="AAH1" s="23"/>
      <c r="AAI1" s="23"/>
      <c r="AAJ1" s="23"/>
      <c r="AAK1" s="23"/>
      <c r="AAL1" s="23"/>
      <c r="AAM1" s="23"/>
      <c r="AAN1" s="23"/>
      <c r="AAO1" s="23"/>
      <c r="AAP1" s="23"/>
      <c r="AAQ1" s="23"/>
      <c r="AAR1" s="23"/>
      <c r="AAS1" s="23"/>
      <c r="AAT1" s="23"/>
      <c r="AAU1" s="23"/>
      <c r="AAV1" s="23"/>
      <c r="AAW1" s="23"/>
      <c r="AAX1" s="23"/>
      <c r="AAY1" s="23"/>
      <c r="AAZ1" s="23"/>
      <c r="ABA1" s="23"/>
      <c r="ABB1" s="23"/>
      <c r="ABC1" s="23"/>
      <c r="ABD1" s="23"/>
      <c r="ABE1" s="23"/>
      <c r="ABF1" s="23"/>
      <c r="ABG1" s="23"/>
      <c r="ABH1" s="23"/>
      <c r="ABI1" s="23"/>
      <c r="ABJ1" s="23"/>
      <c r="ABK1" s="23"/>
      <c r="ABL1" s="23"/>
      <c r="ABM1" s="23"/>
      <c r="ABN1" s="23"/>
      <c r="ABO1" s="23"/>
      <c r="ABP1" s="23"/>
      <c r="ABQ1" s="23"/>
      <c r="ABR1" s="23"/>
      <c r="ABS1" s="23"/>
      <c r="ABT1" s="23"/>
      <c r="ABU1" s="23"/>
      <c r="ABV1" s="23"/>
      <c r="ABW1" s="23"/>
      <c r="ABX1" s="23"/>
      <c r="ABY1" s="23"/>
      <c r="ABZ1" s="23"/>
      <c r="ACA1" s="23"/>
      <c r="ACB1" s="23"/>
      <c r="ACC1" s="23"/>
      <c r="ACD1" s="23"/>
      <c r="ACE1" s="23"/>
      <c r="ACF1" s="23"/>
      <c r="ACG1" s="23"/>
      <c r="ACH1" s="23"/>
      <c r="ACI1" s="23"/>
      <c r="ACJ1" s="23"/>
      <c r="ACK1" s="23"/>
      <c r="ACL1" s="23"/>
      <c r="ACM1" s="23"/>
      <c r="ACN1" s="23"/>
      <c r="ACO1" s="23"/>
      <c r="ACP1" s="23"/>
      <c r="ACQ1" s="23"/>
      <c r="ACR1" s="23"/>
      <c r="ACS1" s="23"/>
      <c r="ACT1" s="23"/>
      <c r="ACU1" s="23"/>
      <c r="ACV1" s="23"/>
      <c r="ACW1" s="23"/>
      <c r="ACX1" s="23"/>
      <c r="ACY1" s="23"/>
      <c r="ACZ1" s="23"/>
      <c r="ADA1" s="23"/>
      <c r="ADB1" s="23"/>
      <c r="ADC1" s="23"/>
      <c r="ADD1" s="23"/>
      <c r="ADE1" s="23"/>
      <c r="ADF1" s="23"/>
      <c r="ADG1" s="23"/>
      <c r="ADH1" s="23"/>
      <c r="ADI1" s="23"/>
      <c r="ADJ1" s="23"/>
      <c r="ADK1" s="23"/>
      <c r="ADL1" s="23"/>
      <c r="ADM1" s="23"/>
      <c r="ADN1" s="23"/>
      <c r="ADO1" s="23"/>
      <c r="ADP1" s="23"/>
      <c r="ADQ1" s="23"/>
      <c r="ADR1" s="23"/>
      <c r="ADS1" s="23"/>
      <c r="ADT1" s="23"/>
      <c r="ADU1" s="23"/>
      <c r="ADV1" s="23"/>
      <c r="ADW1" s="23"/>
      <c r="ADX1" s="23"/>
      <c r="ADY1" s="23"/>
      <c r="ADZ1" s="23"/>
      <c r="AEA1" s="23"/>
      <c r="AEB1" s="23"/>
      <c r="AEC1" s="23"/>
      <c r="AED1" s="23"/>
      <c r="AEE1" s="23"/>
      <c r="AEF1" s="23"/>
      <c r="AEG1" s="23"/>
      <c r="AEH1" s="23"/>
      <c r="AEI1" s="23"/>
      <c r="AEJ1" s="23"/>
      <c r="AEK1" s="23"/>
      <c r="AEL1" s="23"/>
      <c r="AEM1" s="23"/>
      <c r="AEN1" s="23"/>
      <c r="AEO1" s="23"/>
      <c r="AEP1" s="23"/>
      <c r="AEQ1" s="23"/>
      <c r="AER1" s="23"/>
      <c r="AES1" s="23"/>
      <c r="AET1" s="23"/>
      <c r="AEU1" s="23"/>
      <c r="AEV1" s="23"/>
      <c r="AEW1" s="23"/>
      <c r="AEX1" s="23"/>
      <c r="AEY1" s="23"/>
      <c r="AEZ1" s="23"/>
      <c r="AFA1" s="23"/>
      <c r="AFB1" s="23"/>
      <c r="AFC1" s="23"/>
      <c r="AFD1" s="23"/>
      <c r="AFE1" s="23"/>
      <c r="AFF1" s="23"/>
      <c r="AFG1" s="23"/>
      <c r="AFH1" s="23"/>
      <c r="AFI1" s="23"/>
      <c r="AFJ1" s="23"/>
      <c r="AFK1" s="23"/>
      <c r="AFL1" s="23"/>
      <c r="AFM1" s="23"/>
      <c r="AFN1" s="23"/>
      <c r="AFO1" s="23"/>
      <c r="AFP1" s="23"/>
      <c r="AFQ1" s="23"/>
      <c r="AFR1" s="23"/>
      <c r="AFS1" s="23"/>
      <c r="AFT1" s="23"/>
      <c r="AFU1" s="23"/>
      <c r="AFV1" s="23"/>
      <c r="AFW1" s="23"/>
      <c r="AFX1" s="23"/>
      <c r="AFY1" s="23"/>
      <c r="AFZ1" s="23"/>
      <c r="AGA1" s="23"/>
      <c r="AGB1" s="23"/>
      <c r="AGC1" s="23"/>
      <c r="AGD1" s="23"/>
      <c r="AGE1" s="23"/>
      <c r="AGF1" s="23"/>
      <c r="AGG1" s="23"/>
      <c r="AGH1" s="23"/>
      <c r="AGI1" s="23"/>
      <c r="AGJ1" s="23"/>
      <c r="AGK1" s="23"/>
      <c r="AGL1" s="23"/>
      <c r="AGM1" s="23"/>
      <c r="AGN1" s="23"/>
      <c r="AGO1" s="23"/>
      <c r="AGP1" s="23"/>
      <c r="AGQ1" s="23"/>
      <c r="AGR1" s="23"/>
      <c r="AGS1" s="23"/>
      <c r="AGT1" s="23"/>
      <c r="AGU1" s="23"/>
      <c r="AGV1" s="23"/>
      <c r="AGW1" s="23"/>
      <c r="AGX1" s="23"/>
      <c r="AGY1" s="23"/>
      <c r="AGZ1" s="23"/>
      <c r="AHA1" s="23"/>
      <c r="AHB1" s="23"/>
      <c r="AHC1" s="23"/>
      <c r="AHD1" s="23"/>
      <c r="AHE1" s="23"/>
      <c r="AHF1" s="23"/>
      <c r="AHG1" s="23"/>
      <c r="AHH1" s="23"/>
      <c r="AHI1" s="23"/>
      <c r="AHJ1" s="23"/>
      <c r="AHK1" s="23"/>
      <c r="AHL1" s="23"/>
      <c r="AHM1" s="23"/>
      <c r="AHN1" s="23"/>
      <c r="AHO1" s="23"/>
      <c r="AHP1" s="23"/>
      <c r="AHQ1" s="23"/>
      <c r="AHR1" s="23"/>
      <c r="AHS1" s="23"/>
      <c r="AHT1" s="23"/>
      <c r="AHU1" s="23"/>
      <c r="AHV1" s="23"/>
      <c r="AHW1" s="23"/>
      <c r="AHX1" s="23"/>
      <c r="AHY1" s="23"/>
      <c r="AHZ1" s="23"/>
      <c r="AIA1" s="23"/>
      <c r="AIB1" s="23"/>
      <c r="AIC1" s="23"/>
      <c r="AID1" s="23"/>
      <c r="AIE1" s="23"/>
      <c r="AIF1" s="23"/>
      <c r="AIG1" s="23"/>
      <c r="AIH1" s="23"/>
      <c r="AII1" s="23"/>
      <c r="AIJ1" s="23"/>
      <c r="AIK1" s="23"/>
      <c r="AIL1" s="23"/>
      <c r="AIM1" s="23"/>
      <c r="AIN1" s="23"/>
      <c r="AIO1" s="23"/>
      <c r="AIP1" s="23"/>
      <c r="AIQ1" s="23"/>
      <c r="AIR1" s="23"/>
      <c r="AIS1" s="23"/>
      <c r="AIT1" s="23"/>
      <c r="AIU1" s="23"/>
      <c r="AIV1" s="23"/>
      <c r="AIW1" s="23"/>
      <c r="AIX1" s="23"/>
      <c r="AIY1" s="23"/>
      <c r="AIZ1" s="23"/>
      <c r="AJA1" s="23"/>
      <c r="AJB1" s="23"/>
      <c r="AJC1" s="23"/>
      <c r="AJD1" s="23"/>
      <c r="AJE1" s="23"/>
      <c r="AJF1" s="23"/>
      <c r="AJG1" s="23"/>
      <c r="AJH1" s="23"/>
      <c r="AJI1" s="23"/>
      <c r="AJJ1" s="23"/>
      <c r="AJK1" s="23"/>
      <c r="AJL1" s="23"/>
      <c r="AJM1" s="23"/>
      <c r="AJN1" s="23"/>
      <c r="AJO1" s="23"/>
      <c r="AJP1" s="23"/>
      <c r="AJQ1" s="23"/>
      <c r="AJR1" s="23"/>
      <c r="AJS1" s="23"/>
      <c r="AJT1" s="23"/>
      <c r="AJU1" s="23"/>
      <c r="AJV1" s="23"/>
      <c r="AJW1" s="23"/>
      <c r="AJX1" s="23"/>
      <c r="AJY1" s="23"/>
      <c r="AJZ1" s="23"/>
      <c r="AKA1" s="23"/>
      <c r="AKB1" s="23"/>
      <c r="AKC1" s="23"/>
      <c r="AKD1" s="23"/>
      <c r="AKE1" s="23"/>
      <c r="AKF1" s="23"/>
      <c r="AKG1" s="23"/>
      <c r="AKH1" s="23"/>
      <c r="AKI1" s="23"/>
      <c r="AKJ1" s="23"/>
      <c r="AKK1" s="23"/>
      <c r="AKL1" s="23"/>
      <c r="AKM1" s="23"/>
      <c r="AKN1" s="23"/>
      <c r="AKO1" s="23"/>
      <c r="AKP1" s="23"/>
      <c r="AKQ1" s="23"/>
      <c r="AKR1" s="23"/>
      <c r="AKS1" s="23"/>
      <c r="AKT1" s="23"/>
      <c r="AKU1" s="23"/>
      <c r="AKV1" s="23"/>
      <c r="AKW1" s="23"/>
      <c r="AKX1" s="23"/>
      <c r="AKY1" s="23"/>
      <c r="AKZ1" s="23"/>
      <c r="ALA1" s="23"/>
      <c r="ALB1" s="23"/>
      <c r="ALC1" s="23"/>
      <c r="ALD1" s="23"/>
      <c r="ALE1" s="23"/>
      <c r="ALF1" s="23"/>
      <c r="ALG1" s="23"/>
      <c r="ALH1" s="23"/>
      <c r="ALI1" s="23"/>
      <c r="ALJ1" s="23"/>
      <c r="ALK1" s="23"/>
      <c r="ALL1" s="23"/>
      <c r="ALM1" s="23"/>
      <c r="ALN1" s="23"/>
      <c r="ALO1" s="23"/>
      <c r="ALP1" s="23"/>
      <c r="ALQ1" s="23"/>
      <c r="ALR1" s="23"/>
      <c r="ALS1" s="23"/>
      <c r="ALT1" s="23"/>
      <c r="ALU1" s="23"/>
      <c r="ALV1" s="23"/>
      <c r="ALW1" s="23"/>
      <c r="ALX1" s="23"/>
      <c r="ALY1" s="23"/>
      <c r="ALZ1" s="23"/>
      <c r="AMA1" s="23"/>
      <c r="AMB1" s="23"/>
      <c r="AMC1" s="23"/>
      <c r="AMD1" s="23"/>
      <c r="AME1" s="23"/>
      <c r="AMF1" s="23"/>
      <c r="AMG1" s="23"/>
      <c r="AMH1" s="23"/>
      <c r="AMI1" s="23"/>
      <c r="AMJ1" s="23"/>
      <c r="AMK1" s="23"/>
      <c r="AML1" s="23"/>
      <c r="AMM1" s="23"/>
      <c r="AMN1" s="23"/>
      <c r="AMO1" s="23"/>
      <c r="AMP1" s="23"/>
      <c r="AMQ1" s="23"/>
      <c r="AMR1" s="23"/>
      <c r="AMS1" s="23"/>
      <c r="AMT1" s="23"/>
      <c r="AMU1" s="23"/>
      <c r="AMV1" s="23"/>
      <c r="AMW1" s="23"/>
      <c r="AMX1" s="23"/>
      <c r="AMY1" s="23"/>
      <c r="AMZ1" s="23"/>
      <c r="ANA1" s="23"/>
      <c r="ANB1" s="23"/>
      <c r="ANC1" s="23"/>
      <c r="AND1" s="23"/>
      <c r="ANE1" s="23"/>
      <c r="ANF1" s="23"/>
      <c r="ANG1" s="23"/>
      <c r="ANH1" s="23"/>
      <c r="ANI1" s="23"/>
      <c r="ANJ1" s="23"/>
      <c r="ANK1" s="23"/>
      <c r="ANL1" s="23"/>
      <c r="ANM1" s="23"/>
      <c r="ANN1" s="23"/>
      <c r="ANO1" s="23"/>
      <c r="ANP1" s="23"/>
      <c r="ANQ1" s="23"/>
      <c r="ANR1" s="23"/>
      <c r="ANS1" s="23"/>
      <c r="ANT1" s="23"/>
      <c r="ANU1" s="23"/>
      <c r="ANV1" s="23"/>
      <c r="ANW1" s="23"/>
      <c r="ANX1" s="23"/>
      <c r="ANY1" s="23"/>
      <c r="ANZ1" s="23"/>
      <c r="AOA1" s="23"/>
      <c r="AOB1" s="23"/>
      <c r="AOC1" s="23"/>
      <c r="AOD1" s="23"/>
      <c r="AOE1" s="23"/>
      <c r="AOF1" s="23"/>
      <c r="AOG1" s="23"/>
      <c r="AOH1" s="23"/>
      <c r="AOI1" s="23"/>
      <c r="AOJ1" s="23"/>
      <c r="AOK1" s="23"/>
      <c r="AOL1" s="23"/>
      <c r="AOM1" s="23"/>
      <c r="AON1" s="23"/>
      <c r="AOO1" s="23"/>
      <c r="AOP1" s="23"/>
      <c r="AOQ1" s="23"/>
      <c r="AOR1" s="23"/>
      <c r="AOS1" s="23"/>
      <c r="AOT1" s="23"/>
      <c r="AOU1" s="23"/>
      <c r="AOV1" s="23"/>
      <c r="AOW1" s="23"/>
      <c r="AOX1" s="23"/>
      <c r="AOY1" s="23"/>
      <c r="AOZ1" s="23"/>
      <c r="APA1" s="23"/>
      <c r="APB1" s="23"/>
      <c r="APC1" s="23"/>
      <c r="APD1" s="23"/>
      <c r="APE1" s="23"/>
      <c r="APF1" s="23"/>
      <c r="APG1" s="23"/>
      <c r="APH1" s="23"/>
      <c r="API1" s="23"/>
      <c r="APJ1" s="23"/>
      <c r="APK1" s="23"/>
      <c r="APL1" s="23"/>
      <c r="APM1" s="23"/>
      <c r="APN1" s="23"/>
      <c r="APO1" s="23"/>
      <c r="APP1" s="23"/>
      <c r="APQ1" s="23"/>
      <c r="APR1" s="23"/>
      <c r="APS1" s="23"/>
      <c r="APT1" s="23"/>
      <c r="APU1" s="23"/>
      <c r="APV1" s="23"/>
      <c r="APW1" s="23"/>
      <c r="APX1" s="23"/>
      <c r="APY1" s="23"/>
      <c r="APZ1" s="23"/>
      <c r="AQA1" s="23"/>
      <c r="AQB1" s="23"/>
      <c r="AQC1" s="23"/>
      <c r="AQD1" s="23"/>
      <c r="AQE1" s="23"/>
      <c r="AQF1" s="23"/>
      <c r="AQG1" s="23"/>
      <c r="AQH1" s="23"/>
      <c r="AQI1" s="23"/>
      <c r="AQJ1" s="23"/>
      <c r="AQK1" s="23"/>
      <c r="AQL1" s="23"/>
      <c r="AQM1" s="23"/>
      <c r="AQN1" s="23"/>
      <c r="AQO1" s="23"/>
      <c r="AQP1" s="23"/>
      <c r="AQQ1" s="23"/>
      <c r="AQR1" s="23"/>
      <c r="AQS1" s="23"/>
      <c r="AQT1" s="23"/>
      <c r="AQU1" s="23"/>
      <c r="AQV1" s="23"/>
      <c r="AQW1" s="23"/>
      <c r="AQX1" s="23"/>
      <c r="AQY1" s="23"/>
      <c r="AQZ1" s="23"/>
      <c r="ARA1" s="23"/>
      <c r="ARB1" s="23"/>
      <c r="ARC1" s="23"/>
      <c r="ARD1" s="23"/>
      <c r="ARE1" s="23"/>
      <c r="ARF1" s="23"/>
      <c r="ARG1" s="23"/>
      <c r="ARH1" s="23"/>
      <c r="ARI1" s="23"/>
      <c r="ARJ1" s="23"/>
      <c r="ARK1" s="23"/>
      <c r="ARL1" s="23"/>
      <c r="ARM1" s="23"/>
      <c r="ARN1" s="23"/>
      <c r="ARO1" s="23"/>
      <c r="ARP1" s="23"/>
      <c r="ARQ1" s="23"/>
      <c r="ARR1" s="23"/>
      <c r="ARS1" s="23"/>
      <c r="ART1" s="23"/>
      <c r="ARU1" s="23"/>
      <c r="ARV1" s="23"/>
      <c r="ARW1" s="23"/>
      <c r="ARX1" s="23"/>
      <c r="ARY1" s="23"/>
      <c r="ARZ1" s="23"/>
      <c r="ASA1" s="23"/>
      <c r="ASB1" s="23"/>
      <c r="ASC1" s="23"/>
      <c r="ASD1" s="23"/>
      <c r="ASE1" s="23"/>
      <c r="ASF1" s="23"/>
      <c r="ASG1" s="23"/>
      <c r="ASH1" s="23"/>
      <c r="ASI1" s="23"/>
      <c r="ASJ1" s="23"/>
      <c r="ASK1" s="23"/>
      <c r="ASL1" s="23"/>
      <c r="ASM1" s="23"/>
      <c r="ASN1" s="23"/>
      <c r="ASO1" s="23"/>
      <c r="ASP1" s="23"/>
      <c r="ASQ1" s="23"/>
      <c r="ASR1" s="23"/>
      <c r="ASS1" s="23"/>
      <c r="AST1" s="23"/>
      <c r="ASU1" s="23"/>
      <c r="ASV1" s="23"/>
      <c r="ASW1" s="23"/>
      <c r="ASX1" s="23"/>
      <c r="ASY1" s="23"/>
      <c r="ASZ1" s="23"/>
      <c r="ATA1" s="23"/>
      <c r="ATB1" s="23"/>
      <c r="ATC1" s="23"/>
      <c r="ATD1" s="23"/>
      <c r="ATE1" s="23"/>
      <c r="ATF1" s="23"/>
      <c r="ATG1" s="23"/>
      <c r="ATH1" s="23"/>
      <c r="ATI1" s="23"/>
      <c r="ATJ1" s="23"/>
      <c r="ATK1" s="23"/>
      <c r="ATL1" s="23"/>
      <c r="ATM1" s="23"/>
      <c r="ATN1" s="23"/>
      <c r="ATO1" s="23"/>
      <c r="ATP1" s="23"/>
      <c r="ATQ1" s="23"/>
      <c r="ATR1" s="23"/>
      <c r="ATS1" s="23"/>
      <c r="ATT1" s="23"/>
      <c r="ATU1" s="23"/>
      <c r="ATV1" s="23"/>
      <c r="ATW1" s="23"/>
      <c r="ATX1" s="23"/>
      <c r="ATY1" s="23"/>
      <c r="ATZ1" s="23"/>
      <c r="AUA1" s="23"/>
      <c r="AUB1" s="23"/>
      <c r="AUC1" s="23"/>
      <c r="AUD1" s="23"/>
      <c r="AUE1" s="23"/>
      <c r="AUF1" s="23"/>
      <c r="AUG1" s="23"/>
      <c r="AUH1" s="23"/>
      <c r="AUI1" s="23"/>
      <c r="AUJ1" s="23"/>
      <c r="AUK1" s="23"/>
      <c r="AUL1" s="23"/>
      <c r="AUM1" s="23"/>
      <c r="AUN1" s="23"/>
      <c r="AUO1" s="23"/>
      <c r="AUP1" s="23"/>
      <c r="AUQ1" s="23"/>
      <c r="AUR1" s="23"/>
      <c r="AUS1" s="23"/>
      <c r="AUT1" s="23"/>
      <c r="AUU1" s="23"/>
      <c r="AUV1" s="23"/>
      <c r="AUW1" s="23"/>
      <c r="AUX1" s="23"/>
      <c r="AUY1" s="23"/>
      <c r="AUZ1" s="23"/>
      <c r="AVA1" s="23"/>
      <c r="AVB1" s="23"/>
      <c r="AVC1" s="23"/>
      <c r="AVD1" s="23"/>
      <c r="AVE1" s="23"/>
      <c r="AVF1" s="23"/>
      <c r="AVG1" s="23"/>
      <c r="AVH1" s="23"/>
      <c r="AVI1" s="23"/>
      <c r="AVJ1" s="23"/>
      <c r="AVK1" s="23"/>
      <c r="AVL1" s="23"/>
      <c r="AVM1" s="23"/>
      <c r="AVN1" s="23"/>
      <c r="AVO1" s="23"/>
      <c r="AVP1" s="23"/>
      <c r="AVQ1" s="23"/>
      <c r="AVR1" s="23"/>
      <c r="AVS1" s="23"/>
      <c r="AVT1" s="23"/>
      <c r="AVU1" s="23"/>
      <c r="AVV1" s="23"/>
      <c r="AVW1" s="23"/>
      <c r="AVX1" s="23"/>
      <c r="AVY1" s="23"/>
      <c r="AVZ1" s="23"/>
      <c r="AWA1" s="23"/>
      <c r="AWB1" s="23"/>
      <c r="AWC1" s="23"/>
      <c r="AWD1" s="23"/>
      <c r="AWE1" s="23"/>
      <c r="AWF1" s="23"/>
      <c r="AWG1" s="23"/>
      <c r="AWH1" s="23"/>
      <c r="AWI1" s="23"/>
      <c r="AWJ1" s="23"/>
      <c r="AWK1" s="23"/>
      <c r="AWL1" s="23"/>
      <c r="AWM1" s="23"/>
      <c r="AWN1" s="23"/>
      <c r="AWO1" s="23"/>
      <c r="AWP1" s="23"/>
      <c r="AWQ1" s="23"/>
      <c r="AWR1" s="23"/>
      <c r="AWS1" s="23"/>
      <c r="AWT1" s="23"/>
      <c r="AWU1" s="23"/>
      <c r="AWV1" s="23"/>
      <c r="AWW1" s="23"/>
      <c r="AWX1" s="23"/>
      <c r="AWY1" s="23"/>
      <c r="AWZ1" s="23"/>
      <c r="AXA1" s="23"/>
      <c r="AXB1" s="23"/>
      <c r="AXC1" s="23"/>
      <c r="AXD1" s="23"/>
      <c r="AXE1" s="23"/>
      <c r="AXF1" s="23"/>
      <c r="AXG1" s="23"/>
      <c r="AXH1" s="23"/>
      <c r="AXI1" s="23"/>
      <c r="AXJ1" s="23"/>
      <c r="AXK1" s="23"/>
      <c r="AXL1" s="23"/>
      <c r="AXM1" s="23"/>
      <c r="AXN1" s="23"/>
      <c r="AXO1" s="23"/>
      <c r="AXP1" s="23"/>
      <c r="AXQ1" s="23"/>
      <c r="AXR1" s="23"/>
      <c r="AXS1" s="23"/>
      <c r="AXT1" s="23"/>
      <c r="AXU1" s="23"/>
      <c r="AXV1" s="23"/>
      <c r="AXW1" s="23"/>
      <c r="AXX1" s="23"/>
      <c r="AXY1" s="23"/>
      <c r="AXZ1" s="23"/>
      <c r="AYA1" s="23"/>
      <c r="AYB1" s="23"/>
      <c r="AYC1" s="23"/>
      <c r="AYD1" s="23"/>
      <c r="AYE1" s="23"/>
      <c r="AYF1" s="23"/>
      <c r="AYG1" s="23"/>
      <c r="AYH1" s="23"/>
      <c r="AYI1" s="23"/>
      <c r="AYJ1" s="23"/>
      <c r="AYK1" s="23"/>
      <c r="AYL1" s="23"/>
      <c r="AYM1" s="23"/>
      <c r="AYN1" s="23"/>
      <c r="AYO1" s="23"/>
      <c r="AYP1" s="23"/>
      <c r="AYQ1" s="23"/>
      <c r="AYR1" s="23"/>
      <c r="AYS1" s="23"/>
      <c r="AYT1" s="23"/>
      <c r="AYU1" s="23"/>
      <c r="AYV1" s="23"/>
      <c r="AYW1" s="23"/>
      <c r="AYX1" s="23"/>
      <c r="AYY1" s="23"/>
      <c r="AYZ1" s="23"/>
      <c r="AZA1" s="23"/>
      <c r="AZB1" s="23"/>
      <c r="AZC1" s="23"/>
      <c r="AZD1" s="23"/>
      <c r="AZE1" s="23"/>
      <c r="AZF1" s="23"/>
      <c r="AZG1" s="23"/>
      <c r="AZH1" s="23"/>
      <c r="AZI1" s="23"/>
      <c r="AZJ1" s="23"/>
      <c r="AZK1" s="23"/>
      <c r="AZL1" s="23"/>
      <c r="AZM1" s="23"/>
      <c r="AZN1" s="23"/>
      <c r="AZO1" s="23"/>
      <c r="AZP1" s="23"/>
      <c r="AZQ1" s="23"/>
      <c r="AZR1" s="23"/>
      <c r="AZS1" s="23"/>
      <c r="AZT1" s="23"/>
      <c r="AZU1" s="23"/>
      <c r="AZV1" s="23"/>
      <c r="AZW1" s="23"/>
      <c r="AZX1" s="23"/>
      <c r="AZY1" s="23"/>
      <c r="AZZ1" s="23"/>
      <c r="BAA1" s="23"/>
      <c r="BAB1" s="23"/>
      <c r="BAC1" s="23"/>
      <c r="BAD1" s="23"/>
      <c r="BAE1" s="23"/>
      <c r="BAF1" s="23"/>
      <c r="BAG1" s="23"/>
      <c r="BAH1" s="23"/>
      <c r="BAI1" s="23"/>
      <c r="BAJ1" s="23"/>
      <c r="BAK1" s="23"/>
      <c r="BAL1" s="23"/>
      <c r="BAM1" s="23"/>
      <c r="BAN1" s="23"/>
      <c r="BAO1" s="23"/>
      <c r="BAP1" s="23"/>
      <c r="BAQ1" s="23"/>
      <c r="BAR1" s="23"/>
      <c r="BAS1" s="23"/>
      <c r="BAT1" s="23"/>
      <c r="BAU1" s="23"/>
      <c r="BAV1" s="23"/>
      <c r="BAW1" s="23"/>
      <c r="BAX1" s="23"/>
      <c r="BAY1" s="23"/>
      <c r="BAZ1" s="23"/>
      <c r="BBA1" s="23"/>
      <c r="BBB1" s="23"/>
      <c r="BBC1" s="23"/>
      <c r="BBD1" s="23"/>
      <c r="BBE1" s="23"/>
      <c r="BBF1" s="23"/>
      <c r="BBG1" s="23"/>
      <c r="BBH1" s="23"/>
      <c r="BBI1" s="23"/>
      <c r="BBJ1" s="23"/>
      <c r="BBK1" s="23"/>
      <c r="BBL1" s="23"/>
      <c r="BBM1" s="23"/>
      <c r="BBN1" s="23"/>
      <c r="BBO1" s="23"/>
      <c r="BBP1" s="23"/>
      <c r="BBQ1" s="23"/>
      <c r="BBR1" s="23"/>
      <c r="BBS1" s="23"/>
      <c r="BBT1" s="23"/>
      <c r="BBU1" s="23"/>
      <c r="BBV1" s="23"/>
      <c r="BBW1" s="23"/>
      <c r="BBX1" s="23"/>
      <c r="BBY1" s="23"/>
      <c r="BBZ1" s="23"/>
      <c r="BCA1" s="23"/>
      <c r="BCB1" s="23"/>
      <c r="BCC1" s="23"/>
      <c r="BCD1" s="23"/>
      <c r="BCE1" s="23"/>
      <c r="BCF1" s="23"/>
      <c r="BCG1" s="23"/>
      <c r="BCH1" s="23"/>
      <c r="BCI1" s="23"/>
      <c r="BCJ1" s="23"/>
      <c r="BCK1" s="23"/>
      <c r="BCL1" s="23"/>
      <c r="BCM1" s="23"/>
      <c r="BCN1" s="23"/>
      <c r="BCO1" s="23"/>
      <c r="BCP1" s="23"/>
      <c r="BCQ1" s="23"/>
      <c r="BCR1" s="23"/>
      <c r="BCS1" s="23"/>
      <c r="BCT1" s="23"/>
      <c r="BCU1" s="23"/>
      <c r="BCV1" s="23"/>
      <c r="BCW1" s="23"/>
      <c r="BCX1" s="23"/>
      <c r="BCY1" s="23"/>
      <c r="BCZ1" s="23"/>
      <c r="BDA1" s="23"/>
      <c r="BDB1" s="23"/>
      <c r="BDC1" s="23"/>
      <c r="BDD1" s="23"/>
      <c r="BDE1" s="23"/>
      <c r="BDF1" s="23"/>
      <c r="BDG1" s="23"/>
      <c r="BDH1" s="23"/>
      <c r="BDI1" s="23"/>
      <c r="BDJ1" s="23"/>
      <c r="BDK1" s="23"/>
      <c r="BDL1" s="23"/>
      <c r="BDM1" s="23"/>
      <c r="BDN1" s="23"/>
      <c r="BDO1" s="23"/>
      <c r="BDP1" s="23"/>
      <c r="BDQ1" s="23"/>
      <c r="BDR1" s="23"/>
      <c r="BDS1" s="23"/>
      <c r="BDT1" s="23"/>
      <c r="BDU1" s="23"/>
      <c r="BDV1" s="23"/>
      <c r="BDW1" s="23"/>
      <c r="BDX1" s="23"/>
      <c r="BDY1" s="23"/>
      <c r="BDZ1" s="23"/>
      <c r="BEA1" s="23"/>
      <c r="BEB1" s="23"/>
      <c r="BEC1" s="23"/>
      <c r="BED1" s="23"/>
      <c r="BEE1" s="23"/>
      <c r="BEF1" s="23"/>
      <c r="BEG1" s="23"/>
      <c r="BEH1" s="23"/>
      <c r="BEI1" s="23"/>
      <c r="BEJ1" s="23"/>
      <c r="BEK1" s="23"/>
      <c r="BEL1" s="23"/>
      <c r="BEM1" s="23"/>
      <c r="BEN1" s="23"/>
      <c r="BEO1" s="23"/>
      <c r="BEP1" s="23"/>
      <c r="BEQ1" s="23"/>
      <c r="BER1" s="23"/>
      <c r="BES1" s="23"/>
      <c r="BET1" s="23"/>
      <c r="BEU1" s="23"/>
      <c r="BEV1" s="23"/>
      <c r="BEW1" s="23"/>
      <c r="BEX1" s="23"/>
      <c r="BEY1" s="23"/>
      <c r="BEZ1" s="23"/>
      <c r="BFA1" s="23"/>
      <c r="BFB1" s="23"/>
      <c r="BFC1" s="23"/>
      <c r="BFD1" s="23"/>
      <c r="BFE1" s="23"/>
      <c r="BFF1" s="23"/>
      <c r="BFG1" s="23"/>
      <c r="BFH1" s="23"/>
      <c r="BFI1" s="23"/>
      <c r="BFJ1" s="23"/>
      <c r="BFK1" s="23"/>
      <c r="BFL1" s="23"/>
      <c r="BFM1" s="23"/>
      <c r="BFN1" s="23"/>
      <c r="BFO1" s="23"/>
      <c r="BFP1" s="23"/>
      <c r="BFQ1" s="23"/>
      <c r="BFR1" s="23"/>
      <c r="BFS1" s="23"/>
      <c r="BFT1" s="23"/>
      <c r="BFU1" s="23"/>
      <c r="BFV1" s="23"/>
      <c r="BFW1" s="23"/>
      <c r="BFX1" s="23"/>
      <c r="BFY1" s="23"/>
      <c r="BFZ1" s="23"/>
      <c r="BGA1" s="23"/>
      <c r="BGB1" s="23"/>
      <c r="BGC1" s="23"/>
      <c r="BGD1" s="23"/>
      <c r="BGE1" s="23"/>
      <c r="BGF1" s="23"/>
      <c r="BGG1" s="23"/>
      <c r="BGH1" s="23"/>
      <c r="BGI1" s="23"/>
      <c r="BGJ1" s="23"/>
      <c r="BGK1" s="23"/>
      <c r="BGL1" s="23"/>
      <c r="BGM1" s="23"/>
      <c r="BGN1" s="23"/>
      <c r="BGO1" s="23"/>
      <c r="BGP1" s="23"/>
      <c r="BGQ1" s="23"/>
      <c r="BGR1" s="23"/>
      <c r="BGS1" s="23"/>
      <c r="BGT1" s="23"/>
      <c r="BGU1" s="23"/>
      <c r="BGV1" s="23"/>
      <c r="BGW1" s="23"/>
      <c r="BGX1" s="23"/>
      <c r="BGY1" s="23"/>
      <c r="BGZ1" s="23"/>
      <c r="BHA1" s="23"/>
      <c r="BHB1" s="23"/>
      <c r="BHC1" s="23"/>
      <c r="BHD1" s="23"/>
      <c r="BHE1" s="23"/>
      <c r="BHF1" s="23"/>
      <c r="BHG1" s="23"/>
      <c r="BHH1" s="23"/>
      <c r="BHI1" s="23"/>
      <c r="BHJ1" s="23"/>
      <c r="BHK1" s="23"/>
      <c r="BHL1" s="23"/>
      <c r="BHM1" s="23"/>
      <c r="BHN1" s="23"/>
      <c r="BHO1" s="23"/>
      <c r="BHP1" s="23"/>
      <c r="BHQ1" s="23"/>
      <c r="BHR1" s="23"/>
      <c r="BHS1" s="23"/>
      <c r="BHT1" s="23"/>
      <c r="BHU1" s="23"/>
      <c r="BHV1" s="23"/>
      <c r="BHW1" s="23"/>
      <c r="BHX1" s="23"/>
      <c r="BHY1" s="23"/>
      <c r="BHZ1" s="23"/>
      <c r="BIA1" s="23"/>
      <c r="BIB1" s="23"/>
      <c r="BIC1" s="23"/>
      <c r="BID1" s="23"/>
      <c r="BIE1" s="23"/>
      <c r="BIF1" s="23"/>
      <c r="BIG1" s="23"/>
      <c r="BIH1" s="23"/>
      <c r="BII1" s="23"/>
      <c r="BIJ1" s="23"/>
      <c r="BIK1" s="23"/>
      <c r="BIL1" s="23"/>
      <c r="BIM1" s="23"/>
      <c r="BIN1" s="23"/>
      <c r="BIO1" s="23"/>
      <c r="BIP1" s="23"/>
      <c r="BIQ1" s="23"/>
      <c r="BIR1" s="23"/>
      <c r="BIS1" s="23"/>
      <c r="BIT1" s="23"/>
      <c r="BIU1" s="23"/>
      <c r="BIV1" s="23"/>
      <c r="BIW1" s="23"/>
      <c r="BIX1" s="23"/>
      <c r="BIY1" s="23"/>
      <c r="BIZ1" s="23"/>
      <c r="BJA1" s="23"/>
      <c r="BJB1" s="23"/>
      <c r="BJC1" s="23"/>
      <c r="BJD1" s="23"/>
      <c r="BJE1" s="23"/>
      <c r="BJF1" s="23"/>
      <c r="BJG1" s="23"/>
      <c r="BJH1" s="23"/>
      <c r="BJI1" s="23"/>
      <c r="BJJ1" s="23"/>
      <c r="BJK1" s="23"/>
      <c r="BJL1" s="23"/>
      <c r="BJM1" s="23"/>
      <c r="BJN1" s="23"/>
      <c r="BJO1" s="23"/>
      <c r="BJP1" s="23"/>
      <c r="BJQ1" s="23"/>
      <c r="BJR1" s="23"/>
      <c r="BJS1" s="23"/>
      <c r="BJT1" s="23"/>
      <c r="BJU1" s="23"/>
      <c r="BJV1" s="23"/>
      <c r="BJW1" s="23"/>
      <c r="BJX1" s="23"/>
      <c r="BJY1" s="23"/>
      <c r="BJZ1" s="23"/>
      <c r="BKA1" s="23"/>
      <c r="BKB1" s="23"/>
      <c r="BKC1" s="23"/>
      <c r="BKD1" s="23"/>
      <c r="BKE1" s="23"/>
      <c r="BKF1" s="23"/>
      <c r="BKG1" s="23"/>
      <c r="BKH1" s="23"/>
      <c r="BKI1" s="23"/>
      <c r="BKJ1" s="23"/>
      <c r="BKK1" s="23"/>
      <c r="BKL1" s="23"/>
      <c r="BKM1" s="23"/>
      <c r="BKN1" s="23"/>
      <c r="BKO1" s="23"/>
      <c r="BKP1" s="23"/>
      <c r="BKQ1" s="23"/>
      <c r="BKR1" s="23"/>
      <c r="BKS1" s="23"/>
      <c r="BKT1" s="23"/>
      <c r="BKU1" s="23"/>
      <c r="BKV1" s="23"/>
      <c r="BKW1" s="23"/>
      <c r="BKX1" s="23"/>
      <c r="BKY1" s="23"/>
      <c r="BKZ1" s="23"/>
      <c r="BLA1" s="23"/>
      <c r="BLB1" s="23"/>
      <c r="BLC1" s="23"/>
      <c r="BLD1" s="23"/>
      <c r="BLE1" s="23"/>
      <c r="BLF1" s="23"/>
      <c r="BLG1" s="23"/>
      <c r="BLH1" s="23"/>
      <c r="BLI1" s="23"/>
      <c r="BLJ1" s="23"/>
      <c r="BLK1" s="23"/>
      <c r="BLL1" s="23"/>
      <c r="BLM1" s="23"/>
      <c r="BLN1" s="23"/>
      <c r="BLO1" s="23"/>
      <c r="BLP1" s="23"/>
      <c r="BLQ1" s="23"/>
      <c r="BLR1" s="23"/>
      <c r="BLS1" s="23"/>
      <c r="BLT1" s="23"/>
      <c r="BLU1" s="23"/>
      <c r="BLV1" s="23"/>
      <c r="BLW1" s="23"/>
      <c r="BLX1" s="23"/>
      <c r="BLY1" s="23"/>
      <c r="BLZ1" s="23"/>
      <c r="BMA1" s="23"/>
      <c r="BMB1" s="23"/>
      <c r="BMC1" s="23"/>
      <c r="BMD1" s="23"/>
      <c r="BME1" s="23"/>
      <c r="BMF1" s="23"/>
      <c r="BMG1" s="23"/>
      <c r="BMH1" s="23"/>
      <c r="BMI1" s="23"/>
      <c r="BMJ1" s="23"/>
      <c r="BMK1" s="23"/>
      <c r="BML1" s="23"/>
      <c r="BMM1" s="23"/>
      <c r="BMN1" s="23"/>
      <c r="BMO1" s="23"/>
      <c r="BMP1" s="23"/>
      <c r="BMQ1" s="23"/>
      <c r="BMR1" s="23"/>
      <c r="BMS1" s="23"/>
      <c r="BMT1" s="23"/>
      <c r="BMU1" s="23"/>
      <c r="BMV1" s="23"/>
      <c r="BMW1" s="23"/>
      <c r="BMX1" s="23"/>
      <c r="BMY1" s="23"/>
      <c r="BMZ1" s="23"/>
      <c r="BNA1" s="23"/>
      <c r="BNB1" s="23"/>
      <c r="BNC1" s="23"/>
      <c r="BND1" s="23"/>
      <c r="BNE1" s="23"/>
      <c r="BNF1" s="23"/>
      <c r="BNG1" s="23"/>
      <c r="BNH1" s="23"/>
      <c r="BNI1" s="23"/>
      <c r="BNJ1" s="23"/>
      <c r="BNK1" s="23"/>
      <c r="BNL1" s="23"/>
      <c r="BNM1" s="23"/>
      <c r="BNN1" s="23"/>
      <c r="BNO1" s="23"/>
      <c r="BNP1" s="23"/>
      <c r="BNQ1" s="23"/>
      <c r="BNR1" s="23"/>
      <c r="BNS1" s="23"/>
      <c r="BNT1" s="23"/>
      <c r="BNU1" s="23"/>
      <c r="BNV1" s="23"/>
      <c r="BNW1" s="23"/>
      <c r="BNX1" s="23"/>
      <c r="BNY1" s="23"/>
      <c r="BNZ1" s="23"/>
      <c r="BOA1" s="23"/>
      <c r="BOB1" s="23"/>
      <c r="BOC1" s="23"/>
      <c r="BOD1" s="23"/>
      <c r="BOE1" s="23"/>
      <c r="BOF1" s="23"/>
      <c r="BOG1" s="23"/>
      <c r="BOH1" s="23"/>
      <c r="BOI1" s="23"/>
      <c r="BOJ1" s="23"/>
      <c r="BOK1" s="23"/>
      <c r="BOL1" s="23"/>
      <c r="BOM1" s="23"/>
      <c r="BON1" s="23"/>
    </row>
    <row r="2" ht="18" customHeight="1" spans="1:20">
      <c r="A2" s="9">
        <v>43800</v>
      </c>
      <c r="B2" s="10">
        <v>61</v>
      </c>
      <c r="C2" s="10">
        <v>900</v>
      </c>
      <c r="D2" s="10">
        <v>1200</v>
      </c>
      <c r="E2" s="10">
        <v>23</v>
      </c>
      <c r="F2" s="10">
        <v>850</v>
      </c>
      <c r="G2" s="10">
        <v>1180</v>
      </c>
      <c r="H2" s="10">
        <v>24</v>
      </c>
      <c r="I2" s="10">
        <v>850</v>
      </c>
      <c r="J2" s="10">
        <v>1050</v>
      </c>
      <c r="K2" s="10">
        <v>18</v>
      </c>
      <c r="L2" s="10">
        <v>850</v>
      </c>
      <c r="M2" s="10">
        <v>1200</v>
      </c>
      <c r="N2" s="10"/>
      <c r="O2" s="10"/>
      <c r="P2" s="10"/>
      <c r="Q2" s="10">
        <f t="shared" ref="Q2:Q10" si="0">B2+E2+H2+K2+N2</f>
        <v>126</v>
      </c>
      <c r="R2" s="11">
        <f t="shared" ref="R2:R10" si="1">MIN(C2,F2,I2,L2,O2)</f>
        <v>850</v>
      </c>
      <c r="S2" s="11">
        <f t="shared" ref="S2:S10" si="2">MAX(D2,G2,J2,M2,P2)</f>
        <v>1200</v>
      </c>
      <c r="T2" s="24"/>
    </row>
    <row r="3" ht="18" customHeight="1" spans="1:20">
      <c r="A3" s="9">
        <f>A2+1</f>
        <v>43801</v>
      </c>
      <c r="B3" s="10">
        <v>90</v>
      </c>
      <c r="C3" s="10">
        <v>850</v>
      </c>
      <c r="D3" s="10">
        <v>1200</v>
      </c>
      <c r="E3" s="10">
        <v>57</v>
      </c>
      <c r="F3" s="10">
        <v>800</v>
      </c>
      <c r="G3" s="10">
        <v>1150</v>
      </c>
      <c r="H3" s="10">
        <v>27</v>
      </c>
      <c r="I3" s="10">
        <v>850</v>
      </c>
      <c r="J3" s="10">
        <v>1050</v>
      </c>
      <c r="K3" s="10">
        <v>18</v>
      </c>
      <c r="L3" s="10">
        <v>900</v>
      </c>
      <c r="M3" s="10">
        <v>1200</v>
      </c>
      <c r="N3" s="10">
        <v>3</v>
      </c>
      <c r="O3" s="10">
        <v>980</v>
      </c>
      <c r="P3" s="10">
        <v>980</v>
      </c>
      <c r="Q3" s="10">
        <f t="shared" si="0"/>
        <v>195</v>
      </c>
      <c r="R3" s="11">
        <f t="shared" si="1"/>
        <v>800</v>
      </c>
      <c r="S3" s="11">
        <f t="shared" si="2"/>
        <v>1200</v>
      </c>
      <c r="T3" s="24"/>
    </row>
    <row r="4" ht="18" customHeight="1" spans="1:20">
      <c r="A4" s="9">
        <f>A3+1</f>
        <v>43802</v>
      </c>
      <c r="B4" s="10">
        <v>134</v>
      </c>
      <c r="C4" s="10">
        <v>850</v>
      </c>
      <c r="D4" s="10">
        <v>1200</v>
      </c>
      <c r="E4" s="10">
        <v>30</v>
      </c>
      <c r="F4" s="10">
        <v>850</v>
      </c>
      <c r="G4" s="10">
        <v>1150</v>
      </c>
      <c r="H4" s="10">
        <v>29</v>
      </c>
      <c r="I4" s="10">
        <v>900</v>
      </c>
      <c r="J4" s="10">
        <v>1050</v>
      </c>
      <c r="K4" s="10">
        <v>15</v>
      </c>
      <c r="L4" s="10">
        <v>900</v>
      </c>
      <c r="M4" s="10">
        <v>1260</v>
      </c>
      <c r="N4" s="10">
        <v>3</v>
      </c>
      <c r="O4" s="10">
        <v>950</v>
      </c>
      <c r="P4" s="10">
        <v>950</v>
      </c>
      <c r="Q4" s="10">
        <f t="shared" si="0"/>
        <v>211</v>
      </c>
      <c r="R4" s="11">
        <f t="shared" si="1"/>
        <v>850</v>
      </c>
      <c r="S4" s="11">
        <f t="shared" si="2"/>
        <v>1260</v>
      </c>
      <c r="T4" s="24"/>
    </row>
    <row r="5" ht="18" customHeight="1" spans="1:20">
      <c r="A5" s="9">
        <f t="shared" ref="A5:A32" si="3">A4+1</f>
        <v>43803</v>
      </c>
      <c r="B5" s="10">
        <v>69</v>
      </c>
      <c r="C5" s="10">
        <v>850</v>
      </c>
      <c r="D5" s="10">
        <v>1100</v>
      </c>
      <c r="E5" s="10">
        <v>33</v>
      </c>
      <c r="F5" s="10">
        <v>850</v>
      </c>
      <c r="G5" s="10">
        <v>1200</v>
      </c>
      <c r="H5" s="10">
        <v>23</v>
      </c>
      <c r="I5" s="10">
        <v>850</v>
      </c>
      <c r="J5" s="10">
        <v>1000</v>
      </c>
      <c r="K5" s="10">
        <v>11</v>
      </c>
      <c r="L5" s="10">
        <v>1000</v>
      </c>
      <c r="M5" s="10">
        <v>1260</v>
      </c>
      <c r="N5" s="10">
        <v>2</v>
      </c>
      <c r="O5" s="10">
        <v>850</v>
      </c>
      <c r="P5" s="10">
        <v>850</v>
      </c>
      <c r="Q5" s="10">
        <f t="shared" si="0"/>
        <v>138</v>
      </c>
      <c r="R5" s="11">
        <f t="shared" si="1"/>
        <v>850</v>
      </c>
      <c r="S5" s="11">
        <f t="shared" si="2"/>
        <v>1260</v>
      </c>
      <c r="T5" s="24"/>
    </row>
    <row r="6" ht="18" customHeight="1" spans="1:20">
      <c r="A6" s="9">
        <f t="shared" si="3"/>
        <v>43804</v>
      </c>
      <c r="B6" s="10">
        <v>32</v>
      </c>
      <c r="C6" s="10">
        <v>900</v>
      </c>
      <c r="D6" s="10">
        <v>1100</v>
      </c>
      <c r="E6" s="10">
        <v>23</v>
      </c>
      <c r="F6" s="10">
        <v>850</v>
      </c>
      <c r="G6" s="10">
        <v>1200</v>
      </c>
      <c r="H6" s="10">
        <v>18</v>
      </c>
      <c r="I6" s="10">
        <v>800</v>
      </c>
      <c r="J6" s="10">
        <v>1100</v>
      </c>
      <c r="K6" s="10">
        <v>14</v>
      </c>
      <c r="L6" s="10">
        <v>920</v>
      </c>
      <c r="M6" s="10">
        <v>1260</v>
      </c>
      <c r="N6" s="10">
        <v>5</v>
      </c>
      <c r="O6" s="10">
        <v>920</v>
      </c>
      <c r="P6" s="10">
        <v>1000</v>
      </c>
      <c r="Q6" s="10">
        <f t="shared" si="0"/>
        <v>92</v>
      </c>
      <c r="R6" s="11">
        <f t="shared" si="1"/>
        <v>800</v>
      </c>
      <c r="S6" s="11">
        <f t="shared" si="2"/>
        <v>1260</v>
      </c>
      <c r="T6" s="24"/>
    </row>
    <row r="7" ht="18" customHeight="1" spans="1:20">
      <c r="A7" s="9">
        <f t="shared" si="3"/>
        <v>43805</v>
      </c>
      <c r="B7" s="10">
        <v>54</v>
      </c>
      <c r="C7" s="10">
        <v>820</v>
      </c>
      <c r="D7" s="10">
        <v>1100</v>
      </c>
      <c r="E7" s="10">
        <v>12</v>
      </c>
      <c r="F7" s="10">
        <v>850</v>
      </c>
      <c r="G7" s="10">
        <v>1100</v>
      </c>
      <c r="H7" s="10">
        <v>24</v>
      </c>
      <c r="I7" s="10">
        <v>900</v>
      </c>
      <c r="J7" s="10">
        <v>1000</v>
      </c>
      <c r="K7" s="12">
        <v>12</v>
      </c>
      <c r="L7" s="12">
        <v>900</v>
      </c>
      <c r="M7" s="12">
        <v>1260</v>
      </c>
      <c r="N7" s="10">
        <v>5</v>
      </c>
      <c r="O7" s="10">
        <v>1000</v>
      </c>
      <c r="P7" s="10">
        <v>1050</v>
      </c>
      <c r="Q7" s="10">
        <f t="shared" si="0"/>
        <v>107</v>
      </c>
      <c r="R7" s="11">
        <f t="shared" si="1"/>
        <v>820</v>
      </c>
      <c r="S7" s="11">
        <f t="shared" si="2"/>
        <v>1260</v>
      </c>
      <c r="T7" s="24"/>
    </row>
    <row r="8" ht="18" customHeight="1" spans="1:20">
      <c r="A8" s="9">
        <f t="shared" si="3"/>
        <v>43806</v>
      </c>
      <c r="B8" s="10">
        <v>45</v>
      </c>
      <c r="C8" s="10">
        <v>900</v>
      </c>
      <c r="D8" s="10">
        <v>1200</v>
      </c>
      <c r="E8" s="10">
        <v>21</v>
      </c>
      <c r="F8" s="10">
        <v>900</v>
      </c>
      <c r="G8" s="10">
        <v>1150</v>
      </c>
      <c r="H8" s="10">
        <v>30</v>
      </c>
      <c r="I8" s="10">
        <v>850</v>
      </c>
      <c r="J8" s="10">
        <v>1070</v>
      </c>
      <c r="K8" s="10">
        <v>18</v>
      </c>
      <c r="L8" s="10">
        <v>850</v>
      </c>
      <c r="M8" s="10">
        <v>1260</v>
      </c>
      <c r="N8" s="10">
        <v>3</v>
      </c>
      <c r="O8" s="10">
        <v>950</v>
      </c>
      <c r="P8" s="10">
        <v>1050</v>
      </c>
      <c r="Q8" s="10">
        <f t="shared" si="0"/>
        <v>117</v>
      </c>
      <c r="R8" s="11">
        <f t="shared" si="1"/>
        <v>850</v>
      </c>
      <c r="S8" s="11">
        <f t="shared" si="2"/>
        <v>1260</v>
      </c>
      <c r="T8" s="24"/>
    </row>
    <row r="9" ht="18" customHeight="1" spans="1:20">
      <c r="A9" s="9">
        <f t="shared" si="3"/>
        <v>43807</v>
      </c>
      <c r="B9" s="11">
        <v>63</v>
      </c>
      <c r="C9" s="10">
        <v>800</v>
      </c>
      <c r="D9" s="10">
        <v>1150</v>
      </c>
      <c r="E9" s="11">
        <v>30</v>
      </c>
      <c r="F9" s="10">
        <v>850</v>
      </c>
      <c r="G9" s="10">
        <v>1170</v>
      </c>
      <c r="H9" s="10">
        <v>27</v>
      </c>
      <c r="I9" s="10">
        <v>850</v>
      </c>
      <c r="J9" s="10">
        <v>1050</v>
      </c>
      <c r="K9" s="10">
        <v>24</v>
      </c>
      <c r="L9" s="10">
        <v>850</v>
      </c>
      <c r="M9" s="10">
        <v>1250</v>
      </c>
      <c r="N9" s="10">
        <v>3</v>
      </c>
      <c r="O9" s="10">
        <v>900</v>
      </c>
      <c r="P9" s="21">
        <v>1050</v>
      </c>
      <c r="Q9" s="10">
        <f t="shared" si="0"/>
        <v>147</v>
      </c>
      <c r="R9" s="11">
        <f t="shared" si="1"/>
        <v>800</v>
      </c>
      <c r="S9" s="11">
        <f t="shared" si="2"/>
        <v>1250</v>
      </c>
      <c r="T9" s="11"/>
    </row>
    <row r="10" ht="18" customHeight="1" spans="1:20">
      <c r="A10" s="9">
        <f t="shared" si="3"/>
        <v>43808</v>
      </c>
      <c r="B10" s="11">
        <v>78</v>
      </c>
      <c r="C10" s="10">
        <v>800</v>
      </c>
      <c r="D10" s="10">
        <v>1100</v>
      </c>
      <c r="E10" s="11">
        <v>30</v>
      </c>
      <c r="F10" s="10">
        <v>850</v>
      </c>
      <c r="G10" s="10">
        <v>1100</v>
      </c>
      <c r="H10" s="10">
        <v>30</v>
      </c>
      <c r="I10" s="10">
        <v>950</v>
      </c>
      <c r="J10" s="10">
        <v>1000</v>
      </c>
      <c r="K10" s="10">
        <v>12</v>
      </c>
      <c r="L10" s="10">
        <v>800</v>
      </c>
      <c r="M10" s="10">
        <v>1200</v>
      </c>
      <c r="N10" s="10">
        <v>3</v>
      </c>
      <c r="O10" s="10">
        <v>1050</v>
      </c>
      <c r="P10" s="10">
        <v>1050</v>
      </c>
      <c r="Q10" s="10">
        <f t="shared" si="0"/>
        <v>153</v>
      </c>
      <c r="R10" s="11">
        <f t="shared" si="1"/>
        <v>800</v>
      </c>
      <c r="S10" s="11">
        <f t="shared" si="2"/>
        <v>1200</v>
      </c>
      <c r="T10" s="24" t="s">
        <v>20</v>
      </c>
    </row>
    <row r="11" ht="18" customHeight="1" spans="1:20">
      <c r="A11" s="9">
        <f t="shared" si="3"/>
        <v>43809</v>
      </c>
      <c r="B11" s="11">
        <v>60</v>
      </c>
      <c r="C11" s="10">
        <v>850</v>
      </c>
      <c r="D11" s="10">
        <v>1150</v>
      </c>
      <c r="E11" s="11">
        <v>27</v>
      </c>
      <c r="F11" s="10">
        <v>900</v>
      </c>
      <c r="G11" s="10">
        <v>1150</v>
      </c>
      <c r="H11" s="10">
        <v>33</v>
      </c>
      <c r="I11" s="10">
        <v>850</v>
      </c>
      <c r="J11" s="10">
        <v>1050</v>
      </c>
      <c r="K11" s="10">
        <v>21</v>
      </c>
      <c r="L11" s="10">
        <v>800</v>
      </c>
      <c r="M11" s="10">
        <v>1200</v>
      </c>
      <c r="N11" s="10"/>
      <c r="O11" s="10"/>
      <c r="P11" s="21"/>
      <c r="Q11" s="10">
        <f t="shared" ref="Q11:Q12" si="4">B11+E11+H11+K11+N11</f>
        <v>141</v>
      </c>
      <c r="R11" s="11">
        <f t="shared" ref="R11:R12" si="5">MIN(C11,F11,I11,L11,O11)</f>
        <v>800</v>
      </c>
      <c r="S11" s="11">
        <f t="shared" ref="S11:S12" si="6">MAX(D11,G11,J11,M11,P11)</f>
        <v>1200</v>
      </c>
      <c r="T11" s="10"/>
    </row>
    <row r="12" ht="18" customHeight="1" spans="1:20">
      <c r="A12" s="9">
        <f t="shared" si="3"/>
        <v>43810</v>
      </c>
      <c r="B12" s="11">
        <v>56</v>
      </c>
      <c r="C12" s="10">
        <v>800</v>
      </c>
      <c r="D12" s="10">
        <v>1150</v>
      </c>
      <c r="E12" s="11">
        <v>29</v>
      </c>
      <c r="F12" s="10">
        <v>900</v>
      </c>
      <c r="G12" s="10">
        <v>1150</v>
      </c>
      <c r="H12" s="10">
        <v>23</v>
      </c>
      <c r="I12" s="10">
        <v>900</v>
      </c>
      <c r="J12" s="10">
        <v>1050</v>
      </c>
      <c r="K12" s="10">
        <v>9</v>
      </c>
      <c r="L12" s="10">
        <v>800</v>
      </c>
      <c r="M12" s="10">
        <v>1200</v>
      </c>
      <c r="N12" s="10">
        <v>8</v>
      </c>
      <c r="O12" s="10">
        <v>850</v>
      </c>
      <c r="P12" s="21">
        <v>1080</v>
      </c>
      <c r="Q12" s="10">
        <f t="shared" si="4"/>
        <v>125</v>
      </c>
      <c r="R12" s="11">
        <f t="shared" si="5"/>
        <v>800</v>
      </c>
      <c r="S12" s="11">
        <f t="shared" si="6"/>
        <v>1200</v>
      </c>
      <c r="T12" s="10"/>
    </row>
    <row r="13" ht="18" customHeight="1" spans="1:20">
      <c r="A13" s="9">
        <f t="shared" si="3"/>
        <v>43811</v>
      </c>
      <c r="B13" s="11">
        <v>65</v>
      </c>
      <c r="C13" s="10">
        <v>850</v>
      </c>
      <c r="D13" s="10">
        <v>1100</v>
      </c>
      <c r="E13" s="11">
        <v>27</v>
      </c>
      <c r="F13" s="10">
        <v>940</v>
      </c>
      <c r="G13" s="10">
        <v>1170</v>
      </c>
      <c r="H13" s="12">
        <v>24</v>
      </c>
      <c r="I13" s="12">
        <v>850</v>
      </c>
      <c r="J13" s="12">
        <v>1050</v>
      </c>
      <c r="K13" s="10">
        <v>6</v>
      </c>
      <c r="L13" s="10">
        <v>1220</v>
      </c>
      <c r="M13" s="10">
        <v>1220</v>
      </c>
      <c r="N13" s="10"/>
      <c r="O13" s="10"/>
      <c r="P13" s="10"/>
      <c r="Q13" s="10">
        <f t="shared" ref="Q13:Q15" si="7">B13+E13+H13+K13+N13</f>
        <v>122</v>
      </c>
      <c r="R13" s="11">
        <f t="shared" ref="R13:R15" si="8">MIN(C13,F13,I13,L13,O13)</f>
        <v>850</v>
      </c>
      <c r="S13" s="11">
        <f t="shared" ref="S13:S15" si="9">MAX(D13,G13,J13,M13,P13)</f>
        <v>1220</v>
      </c>
      <c r="T13" s="10"/>
    </row>
    <row r="14" ht="18" customHeight="1" spans="1:20">
      <c r="A14" s="9">
        <f t="shared" si="3"/>
        <v>43812</v>
      </c>
      <c r="B14" s="11">
        <v>51</v>
      </c>
      <c r="C14" s="10">
        <v>900</v>
      </c>
      <c r="D14" s="10">
        <v>1100</v>
      </c>
      <c r="E14" s="11">
        <v>26</v>
      </c>
      <c r="F14" s="10">
        <v>850</v>
      </c>
      <c r="G14" s="10">
        <v>1100</v>
      </c>
      <c r="H14" s="10">
        <v>27</v>
      </c>
      <c r="I14" s="10">
        <v>900</v>
      </c>
      <c r="J14" s="10">
        <v>1040</v>
      </c>
      <c r="K14" s="10">
        <v>12</v>
      </c>
      <c r="L14" s="10">
        <v>820</v>
      </c>
      <c r="M14" s="10">
        <v>1200</v>
      </c>
      <c r="N14" s="10"/>
      <c r="O14" s="10"/>
      <c r="P14" s="10"/>
      <c r="Q14" s="10">
        <f t="shared" si="7"/>
        <v>116</v>
      </c>
      <c r="R14" s="11">
        <f t="shared" si="8"/>
        <v>820</v>
      </c>
      <c r="S14" s="11">
        <f t="shared" si="9"/>
        <v>1200</v>
      </c>
      <c r="T14" s="10"/>
    </row>
    <row r="15" ht="18" customHeight="1" spans="1:20">
      <c r="A15" s="9">
        <f t="shared" si="3"/>
        <v>43813</v>
      </c>
      <c r="B15" s="11">
        <v>42</v>
      </c>
      <c r="C15" s="10">
        <v>800</v>
      </c>
      <c r="D15" s="10">
        <v>1020</v>
      </c>
      <c r="E15" s="11">
        <v>24</v>
      </c>
      <c r="F15" s="10">
        <v>800</v>
      </c>
      <c r="G15" s="10">
        <v>1100</v>
      </c>
      <c r="H15" s="10">
        <v>30</v>
      </c>
      <c r="I15" s="10">
        <v>850</v>
      </c>
      <c r="J15" s="10">
        <v>1000</v>
      </c>
      <c r="K15" s="10">
        <v>14</v>
      </c>
      <c r="L15" s="10">
        <v>800</v>
      </c>
      <c r="M15" s="10">
        <v>1200</v>
      </c>
      <c r="N15" s="10">
        <v>9</v>
      </c>
      <c r="O15" s="10">
        <v>870</v>
      </c>
      <c r="P15" s="10">
        <v>1080</v>
      </c>
      <c r="Q15" s="10">
        <f t="shared" si="7"/>
        <v>119</v>
      </c>
      <c r="R15" s="11">
        <f t="shared" si="8"/>
        <v>800</v>
      </c>
      <c r="S15" s="11">
        <f t="shared" si="9"/>
        <v>1200</v>
      </c>
      <c r="T15" s="10"/>
    </row>
    <row r="16" ht="18" customHeight="1" spans="1:20">
      <c r="A16" s="9">
        <f t="shared" si="3"/>
        <v>43814</v>
      </c>
      <c r="B16" s="10">
        <v>45</v>
      </c>
      <c r="C16" s="10">
        <v>750</v>
      </c>
      <c r="D16" s="10">
        <v>1000</v>
      </c>
      <c r="E16" s="10">
        <v>15</v>
      </c>
      <c r="F16" s="10">
        <v>750</v>
      </c>
      <c r="G16" s="10">
        <v>1050</v>
      </c>
      <c r="H16" s="10">
        <v>21</v>
      </c>
      <c r="I16" s="10">
        <v>800</v>
      </c>
      <c r="J16" s="10">
        <v>900</v>
      </c>
      <c r="K16" s="10">
        <v>9</v>
      </c>
      <c r="L16" s="10">
        <v>800</v>
      </c>
      <c r="M16" s="10">
        <v>1150</v>
      </c>
      <c r="N16" s="10">
        <v>3</v>
      </c>
      <c r="O16" s="10">
        <v>900</v>
      </c>
      <c r="P16" s="10">
        <v>1050</v>
      </c>
      <c r="Q16" s="10">
        <f t="shared" ref="Q16:Q17" si="10">B16+E16+H16+K16+N16</f>
        <v>93</v>
      </c>
      <c r="R16" s="11">
        <f t="shared" ref="R16:R17" si="11">MIN(C16,F16,I16,L16,O16)</f>
        <v>750</v>
      </c>
      <c r="S16" s="11">
        <f t="shared" ref="S16:S17" si="12">MAX(D16,G16,J16,M16,P16)</f>
        <v>1150</v>
      </c>
      <c r="T16" s="10" t="s">
        <v>21</v>
      </c>
    </row>
    <row r="17" ht="18" customHeight="1" spans="1:20">
      <c r="A17" s="9">
        <f t="shared" si="3"/>
        <v>43815</v>
      </c>
      <c r="B17" s="10">
        <v>48</v>
      </c>
      <c r="C17" s="10">
        <v>800</v>
      </c>
      <c r="D17" s="10">
        <v>1050</v>
      </c>
      <c r="E17" s="10">
        <v>45</v>
      </c>
      <c r="F17" s="10">
        <v>800</v>
      </c>
      <c r="G17" s="10">
        <v>1100</v>
      </c>
      <c r="H17" s="10">
        <v>15</v>
      </c>
      <c r="I17" s="10">
        <v>820</v>
      </c>
      <c r="J17" s="10">
        <v>950</v>
      </c>
      <c r="K17" s="10">
        <v>21</v>
      </c>
      <c r="L17" s="10">
        <v>770</v>
      </c>
      <c r="M17" s="10">
        <v>1170</v>
      </c>
      <c r="N17" s="10">
        <v>3</v>
      </c>
      <c r="O17" s="10">
        <v>920</v>
      </c>
      <c r="P17" s="10">
        <v>920</v>
      </c>
      <c r="Q17" s="10">
        <f t="shared" si="10"/>
        <v>132</v>
      </c>
      <c r="R17" s="11">
        <f t="shared" si="11"/>
        <v>770</v>
      </c>
      <c r="S17" s="11">
        <f t="shared" si="12"/>
        <v>1170</v>
      </c>
      <c r="T17" s="10" t="s">
        <v>22</v>
      </c>
    </row>
    <row r="18" ht="18" customHeight="1" spans="1:20">
      <c r="A18" s="9">
        <f t="shared" si="3"/>
        <v>43816</v>
      </c>
      <c r="B18" s="11">
        <v>63</v>
      </c>
      <c r="C18" s="10">
        <v>800</v>
      </c>
      <c r="D18" s="10">
        <v>1050</v>
      </c>
      <c r="E18" s="11">
        <v>35</v>
      </c>
      <c r="F18" s="10">
        <v>800</v>
      </c>
      <c r="G18" s="10">
        <v>1070</v>
      </c>
      <c r="H18" s="10">
        <v>20</v>
      </c>
      <c r="I18" s="10">
        <v>850</v>
      </c>
      <c r="J18" s="10">
        <v>950</v>
      </c>
      <c r="K18" s="10">
        <v>18</v>
      </c>
      <c r="L18" s="10">
        <v>800</v>
      </c>
      <c r="M18" s="10">
        <v>1160</v>
      </c>
      <c r="N18" s="10"/>
      <c r="O18" s="10"/>
      <c r="P18" s="10"/>
      <c r="Q18" s="10">
        <f t="shared" ref="Q18:Q22" si="13">B18+E18+H18+K18+N18</f>
        <v>136</v>
      </c>
      <c r="R18" s="11">
        <f t="shared" ref="R18:R22" si="14">MIN(C18,F18,I18,L18,O18)</f>
        <v>800</v>
      </c>
      <c r="S18" s="11">
        <f t="shared" ref="S18:S22" si="15">MAX(D18,G18,J18,M18,P18)</f>
        <v>1160</v>
      </c>
      <c r="T18" s="10"/>
    </row>
    <row r="19" ht="18" customHeight="1" spans="1:20">
      <c r="A19" s="9">
        <f t="shared" si="3"/>
        <v>43817</v>
      </c>
      <c r="B19" s="11">
        <v>90</v>
      </c>
      <c r="C19" s="10">
        <v>800</v>
      </c>
      <c r="D19" s="10">
        <v>1050</v>
      </c>
      <c r="E19" s="11">
        <v>30</v>
      </c>
      <c r="F19" s="10">
        <v>850</v>
      </c>
      <c r="G19" s="10">
        <v>1070</v>
      </c>
      <c r="H19" s="10">
        <v>15</v>
      </c>
      <c r="I19" s="10">
        <v>920</v>
      </c>
      <c r="J19" s="10">
        <v>1000</v>
      </c>
      <c r="K19" s="10">
        <v>24</v>
      </c>
      <c r="L19" s="10">
        <v>800</v>
      </c>
      <c r="M19" s="10">
        <v>1120</v>
      </c>
      <c r="N19" s="10"/>
      <c r="O19" s="10"/>
      <c r="P19" s="10"/>
      <c r="Q19" s="10">
        <f t="shared" si="13"/>
        <v>159</v>
      </c>
      <c r="R19" s="11">
        <f t="shared" si="14"/>
        <v>800</v>
      </c>
      <c r="S19" s="11">
        <f t="shared" si="15"/>
        <v>1120</v>
      </c>
      <c r="T19" s="10"/>
    </row>
    <row r="20" ht="18" customHeight="1" spans="1:20">
      <c r="A20" s="9">
        <f t="shared" si="3"/>
        <v>43818</v>
      </c>
      <c r="B20" s="11">
        <v>48</v>
      </c>
      <c r="C20" s="10">
        <v>800</v>
      </c>
      <c r="D20" s="10">
        <v>1000</v>
      </c>
      <c r="E20" s="11">
        <v>24</v>
      </c>
      <c r="F20" s="10">
        <v>800</v>
      </c>
      <c r="G20" s="10">
        <v>1050</v>
      </c>
      <c r="H20" s="10">
        <v>12</v>
      </c>
      <c r="I20" s="10">
        <v>800</v>
      </c>
      <c r="J20" s="10">
        <v>950</v>
      </c>
      <c r="K20" s="10">
        <v>19</v>
      </c>
      <c r="L20" s="10">
        <v>800</v>
      </c>
      <c r="M20" s="10">
        <v>1050</v>
      </c>
      <c r="N20" s="10">
        <v>2</v>
      </c>
      <c r="O20" s="10">
        <v>900</v>
      </c>
      <c r="P20" s="10">
        <v>900</v>
      </c>
      <c r="Q20" s="10">
        <f t="shared" si="13"/>
        <v>105</v>
      </c>
      <c r="R20" s="11">
        <f t="shared" si="14"/>
        <v>800</v>
      </c>
      <c r="S20" s="11">
        <f t="shared" si="15"/>
        <v>1050</v>
      </c>
      <c r="T20" s="10"/>
    </row>
    <row r="21" ht="18" customHeight="1" spans="1:20">
      <c r="A21" s="9">
        <f t="shared" si="3"/>
        <v>43819</v>
      </c>
      <c r="B21" s="10">
        <v>57</v>
      </c>
      <c r="C21" s="10">
        <v>800</v>
      </c>
      <c r="D21" s="10">
        <v>1050</v>
      </c>
      <c r="E21" s="10">
        <v>21</v>
      </c>
      <c r="F21" s="10">
        <v>850</v>
      </c>
      <c r="G21" s="10">
        <v>1060</v>
      </c>
      <c r="H21" s="10">
        <v>17</v>
      </c>
      <c r="I21" s="10">
        <v>800</v>
      </c>
      <c r="J21" s="10">
        <v>950</v>
      </c>
      <c r="K21" s="10">
        <v>24</v>
      </c>
      <c r="L21" s="4">
        <v>1000</v>
      </c>
      <c r="M21" s="10">
        <v>1100</v>
      </c>
      <c r="N21" s="10">
        <v>2</v>
      </c>
      <c r="O21" s="10">
        <v>800</v>
      </c>
      <c r="P21" s="10">
        <v>800</v>
      </c>
      <c r="Q21" s="10">
        <f t="shared" si="13"/>
        <v>121</v>
      </c>
      <c r="R21" s="11">
        <f t="shared" si="14"/>
        <v>800</v>
      </c>
      <c r="S21" s="11">
        <f t="shared" si="15"/>
        <v>1100</v>
      </c>
      <c r="T21" s="10"/>
    </row>
    <row r="22" ht="18" customHeight="1" spans="1:20">
      <c r="A22" s="9">
        <f t="shared" si="3"/>
        <v>43820</v>
      </c>
      <c r="B22" s="10">
        <v>45</v>
      </c>
      <c r="C22" s="10">
        <v>850</v>
      </c>
      <c r="D22" s="10">
        <v>1000</v>
      </c>
      <c r="E22" s="10">
        <v>36</v>
      </c>
      <c r="F22" s="10">
        <v>820</v>
      </c>
      <c r="G22" s="10">
        <v>1020</v>
      </c>
      <c r="H22" s="10">
        <v>12</v>
      </c>
      <c r="I22" s="10">
        <v>850</v>
      </c>
      <c r="J22" s="10">
        <v>900</v>
      </c>
      <c r="K22" s="10">
        <v>18</v>
      </c>
      <c r="L22" s="10">
        <v>900</v>
      </c>
      <c r="M22" s="10">
        <v>1050</v>
      </c>
      <c r="N22" s="10">
        <v>3</v>
      </c>
      <c r="O22" s="10">
        <v>850</v>
      </c>
      <c r="P22" s="10">
        <v>900</v>
      </c>
      <c r="Q22" s="10">
        <f t="shared" si="13"/>
        <v>114</v>
      </c>
      <c r="R22" s="11">
        <f t="shared" si="14"/>
        <v>820</v>
      </c>
      <c r="S22" s="11">
        <f t="shared" si="15"/>
        <v>1050</v>
      </c>
      <c r="T22" s="10" t="s">
        <v>21</v>
      </c>
    </row>
    <row r="23" ht="18" customHeight="1" spans="1:20">
      <c r="A23" s="9">
        <f t="shared" si="3"/>
        <v>43821</v>
      </c>
      <c r="B23" s="11">
        <v>81</v>
      </c>
      <c r="C23" s="10">
        <v>810</v>
      </c>
      <c r="D23" s="10">
        <v>1050</v>
      </c>
      <c r="E23" s="11">
        <v>48</v>
      </c>
      <c r="F23" s="10">
        <v>850</v>
      </c>
      <c r="G23" s="10">
        <v>1070</v>
      </c>
      <c r="H23" s="10">
        <v>18</v>
      </c>
      <c r="I23" s="10">
        <v>900</v>
      </c>
      <c r="J23" s="10">
        <v>1050</v>
      </c>
      <c r="K23" s="10">
        <v>15</v>
      </c>
      <c r="L23" s="10">
        <v>950</v>
      </c>
      <c r="M23" s="10">
        <v>1050</v>
      </c>
      <c r="N23" s="10"/>
      <c r="O23" s="10"/>
      <c r="P23" s="10"/>
      <c r="Q23" s="10">
        <f t="shared" ref="Q23:Q24" si="16">B23+E23+H23+K23+N23</f>
        <v>162</v>
      </c>
      <c r="R23" s="11">
        <f t="shared" ref="R23:R24" si="17">MIN(C23,F23,I23,L23,O23)</f>
        <v>810</v>
      </c>
      <c r="S23" s="11">
        <f t="shared" ref="S23:S24" si="18">MAX(D23,G23,J23,M23,P23)</f>
        <v>1070</v>
      </c>
      <c r="T23" s="10" t="s">
        <v>22</v>
      </c>
    </row>
    <row r="24" ht="18" customHeight="1" spans="1:20">
      <c r="A24" s="13">
        <f t="shared" si="3"/>
        <v>43822</v>
      </c>
      <c r="B24" s="14">
        <v>51</v>
      </c>
      <c r="C24" s="15">
        <v>850</v>
      </c>
      <c r="D24" s="15">
        <v>1100</v>
      </c>
      <c r="E24" s="14">
        <v>42</v>
      </c>
      <c r="F24" s="15">
        <v>870</v>
      </c>
      <c r="G24" s="15">
        <v>1100</v>
      </c>
      <c r="H24" s="15">
        <v>27</v>
      </c>
      <c r="I24" s="15">
        <v>900</v>
      </c>
      <c r="J24" s="15">
        <v>1030</v>
      </c>
      <c r="K24" s="15">
        <v>12</v>
      </c>
      <c r="L24" s="15">
        <v>900</v>
      </c>
      <c r="M24" s="15">
        <v>1070</v>
      </c>
      <c r="N24" s="15">
        <v>5</v>
      </c>
      <c r="O24" s="15">
        <v>800</v>
      </c>
      <c r="P24" s="15">
        <v>940</v>
      </c>
      <c r="Q24" s="10">
        <f t="shared" si="16"/>
        <v>137</v>
      </c>
      <c r="R24" s="11">
        <f t="shared" si="17"/>
        <v>800</v>
      </c>
      <c r="S24" s="11">
        <f t="shared" si="18"/>
        <v>1100</v>
      </c>
      <c r="T24" s="10" t="s">
        <v>23</v>
      </c>
    </row>
    <row r="25" s="2" customFormat="1" ht="18" customHeight="1" spans="1:1756">
      <c r="A25" s="13">
        <f t="shared" ref="A25:A28" si="19">A24+1</f>
        <v>43823</v>
      </c>
      <c r="B25" s="11">
        <v>83</v>
      </c>
      <c r="C25" s="10">
        <v>850</v>
      </c>
      <c r="D25" s="10">
        <v>1120</v>
      </c>
      <c r="E25" s="11">
        <v>52</v>
      </c>
      <c r="F25" s="10">
        <v>870</v>
      </c>
      <c r="G25" s="10">
        <v>1150</v>
      </c>
      <c r="H25" s="10">
        <v>15</v>
      </c>
      <c r="I25" s="10">
        <v>900</v>
      </c>
      <c r="J25" s="10">
        <v>1000</v>
      </c>
      <c r="K25" s="10">
        <v>10</v>
      </c>
      <c r="L25" s="10">
        <v>900</v>
      </c>
      <c r="M25" s="10">
        <v>1100</v>
      </c>
      <c r="N25" s="10"/>
      <c r="O25" s="10"/>
      <c r="P25" s="10"/>
      <c r="Q25" s="10">
        <v>160</v>
      </c>
      <c r="R25" s="11"/>
      <c r="S25" s="11"/>
      <c r="T25" s="10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5"/>
      <c r="EY25" s="25"/>
      <c r="EZ25" s="25"/>
      <c r="FA25" s="25"/>
      <c r="FB25" s="25"/>
      <c r="FC25" s="25"/>
      <c r="FD25" s="25"/>
      <c r="FE25" s="25"/>
      <c r="FF25" s="25"/>
      <c r="FG25" s="25"/>
      <c r="FH25" s="25"/>
      <c r="FI25" s="25"/>
      <c r="FJ25" s="25"/>
      <c r="FK25" s="25"/>
      <c r="FL25" s="25"/>
      <c r="FM25" s="25"/>
      <c r="FN25" s="25"/>
      <c r="FO25" s="25"/>
      <c r="FP25" s="25"/>
      <c r="FQ25" s="25"/>
      <c r="FR25" s="25"/>
      <c r="FS25" s="25"/>
      <c r="FT25" s="25"/>
      <c r="FU25" s="25"/>
      <c r="FV25" s="25"/>
      <c r="FW25" s="25"/>
      <c r="FX25" s="25"/>
      <c r="FY25" s="25"/>
      <c r="FZ25" s="25"/>
      <c r="GA25" s="25"/>
      <c r="GB25" s="25"/>
      <c r="GC25" s="25"/>
      <c r="GD25" s="25"/>
      <c r="GE25" s="25"/>
      <c r="GF25" s="25"/>
      <c r="GG25" s="25"/>
      <c r="GH25" s="25"/>
      <c r="GI25" s="25"/>
      <c r="GJ25" s="25"/>
      <c r="GK25" s="25"/>
      <c r="GL25" s="25"/>
      <c r="GM25" s="25"/>
      <c r="GN25" s="25"/>
      <c r="GO25" s="25"/>
      <c r="GP25" s="25"/>
      <c r="GQ25" s="25"/>
      <c r="GR25" s="25"/>
      <c r="GS25" s="25"/>
      <c r="GT25" s="25"/>
      <c r="GU25" s="25"/>
      <c r="GV25" s="25"/>
      <c r="GW25" s="25"/>
      <c r="GX25" s="25"/>
      <c r="GY25" s="25"/>
      <c r="GZ25" s="25"/>
      <c r="HA25" s="25"/>
      <c r="HB25" s="25"/>
      <c r="HC25" s="25"/>
      <c r="HD25" s="25"/>
      <c r="HE25" s="25"/>
      <c r="HF25" s="25"/>
      <c r="HG25" s="25"/>
      <c r="HH25" s="25"/>
      <c r="HI25" s="25"/>
      <c r="HJ25" s="25"/>
      <c r="HK25" s="25"/>
      <c r="HL25" s="25"/>
      <c r="HM25" s="25"/>
      <c r="HN25" s="25"/>
      <c r="HO25" s="25"/>
      <c r="HP25" s="25"/>
      <c r="HQ25" s="25"/>
      <c r="HR25" s="25"/>
      <c r="HS25" s="25"/>
      <c r="HT25" s="25"/>
      <c r="HU25" s="25"/>
      <c r="HV25" s="25"/>
      <c r="HW25" s="25"/>
      <c r="HX25" s="25"/>
      <c r="HY25" s="25"/>
      <c r="HZ25" s="25"/>
      <c r="IA25" s="25"/>
      <c r="IB25" s="25"/>
      <c r="IC25" s="25"/>
      <c r="ID25" s="25"/>
      <c r="IE25" s="25"/>
      <c r="IF25" s="25"/>
      <c r="IG25" s="25"/>
      <c r="IH25" s="25"/>
      <c r="II25" s="25"/>
      <c r="IJ25" s="25"/>
      <c r="IK25" s="25"/>
      <c r="IL25" s="25"/>
      <c r="IM25" s="25"/>
      <c r="IN25" s="25"/>
      <c r="IO25" s="25"/>
      <c r="IP25" s="25"/>
      <c r="IQ25" s="25"/>
      <c r="IR25" s="25"/>
      <c r="IS25" s="25"/>
      <c r="IT25" s="25"/>
      <c r="IU25" s="25"/>
      <c r="IV25" s="25"/>
      <c r="IW25" s="25"/>
      <c r="IX25" s="25"/>
      <c r="IY25" s="25"/>
      <c r="IZ25" s="25"/>
      <c r="JA25" s="25"/>
      <c r="JB25" s="25"/>
      <c r="JC25" s="25"/>
      <c r="JD25" s="25"/>
      <c r="JE25" s="25"/>
      <c r="JF25" s="25"/>
      <c r="JG25" s="25"/>
      <c r="JH25" s="25"/>
      <c r="JI25" s="25"/>
      <c r="JJ25" s="25"/>
      <c r="JK25" s="25"/>
      <c r="JL25" s="25"/>
      <c r="JM25" s="25"/>
      <c r="JN25" s="25"/>
      <c r="JO25" s="25"/>
      <c r="JP25" s="25"/>
      <c r="JQ25" s="25"/>
      <c r="JR25" s="25"/>
      <c r="JS25" s="25"/>
      <c r="JT25" s="25"/>
      <c r="JU25" s="25"/>
      <c r="JV25" s="25"/>
      <c r="JW25" s="25"/>
      <c r="JX25" s="25"/>
      <c r="JY25" s="25"/>
      <c r="JZ25" s="25"/>
      <c r="KA25" s="25"/>
      <c r="KB25" s="25"/>
      <c r="KC25" s="25"/>
      <c r="KD25" s="25"/>
      <c r="KE25" s="25"/>
      <c r="KF25" s="25"/>
      <c r="KG25" s="25"/>
      <c r="KH25" s="25"/>
      <c r="KI25" s="25"/>
      <c r="KJ25" s="25"/>
      <c r="KK25" s="25"/>
      <c r="KL25" s="25"/>
      <c r="KM25" s="25"/>
      <c r="KN25" s="25"/>
      <c r="KO25" s="25"/>
      <c r="KP25" s="25"/>
      <c r="KQ25" s="25"/>
      <c r="KR25" s="25"/>
      <c r="KS25" s="25"/>
      <c r="KT25" s="25"/>
      <c r="KU25" s="25"/>
      <c r="KV25" s="25"/>
      <c r="KW25" s="25"/>
      <c r="KX25" s="25"/>
      <c r="KY25" s="25"/>
      <c r="KZ25" s="25"/>
      <c r="LA25" s="25"/>
      <c r="LB25" s="25"/>
      <c r="LC25" s="25"/>
      <c r="LD25" s="25"/>
      <c r="LE25" s="25"/>
      <c r="LF25" s="25"/>
      <c r="LG25" s="25"/>
      <c r="LH25" s="25"/>
      <c r="LI25" s="25"/>
      <c r="LJ25" s="25"/>
      <c r="LK25" s="25"/>
      <c r="LL25" s="25"/>
      <c r="LM25" s="25"/>
      <c r="LN25" s="25"/>
      <c r="LO25" s="25"/>
      <c r="LP25" s="25"/>
      <c r="LQ25" s="25"/>
      <c r="LR25" s="25"/>
      <c r="LS25" s="25"/>
      <c r="LT25" s="25"/>
      <c r="LU25" s="25"/>
      <c r="LV25" s="25"/>
      <c r="LW25" s="25"/>
      <c r="LX25" s="25"/>
      <c r="LY25" s="25"/>
      <c r="LZ25" s="25"/>
      <c r="MA25" s="25"/>
      <c r="MB25" s="25"/>
      <c r="MC25" s="25"/>
      <c r="MD25" s="25"/>
      <c r="ME25" s="25"/>
      <c r="MF25" s="25"/>
      <c r="MG25" s="25"/>
      <c r="MH25" s="25"/>
      <c r="MI25" s="25"/>
      <c r="MJ25" s="25"/>
      <c r="MK25" s="25"/>
      <c r="ML25" s="25"/>
      <c r="MM25" s="25"/>
      <c r="MN25" s="25"/>
      <c r="MO25" s="25"/>
      <c r="MP25" s="25"/>
      <c r="MQ25" s="25"/>
      <c r="MR25" s="25"/>
      <c r="MS25" s="25"/>
      <c r="MT25" s="25"/>
      <c r="MU25" s="25"/>
      <c r="MV25" s="25"/>
      <c r="MW25" s="25"/>
      <c r="MX25" s="25"/>
      <c r="MY25" s="25"/>
      <c r="MZ25" s="25"/>
      <c r="NA25" s="25"/>
      <c r="NB25" s="25"/>
      <c r="NC25" s="25"/>
      <c r="ND25" s="25"/>
      <c r="NE25" s="25"/>
      <c r="NF25" s="25"/>
      <c r="NG25" s="25"/>
      <c r="NH25" s="25"/>
      <c r="NI25" s="25"/>
      <c r="NJ25" s="25"/>
      <c r="NK25" s="25"/>
      <c r="NL25" s="25"/>
      <c r="NM25" s="25"/>
      <c r="NN25" s="25"/>
      <c r="NO25" s="25"/>
      <c r="NP25" s="25"/>
      <c r="NQ25" s="25"/>
      <c r="NR25" s="25"/>
      <c r="NS25" s="25"/>
      <c r="NT25" s="25"/>
      <c r="NU25" s="25"/>
      <c r="NV25" s="25"/>
      <c r="NW25" s="25"/>
      <c r="NX25" s="25"/>
      <c r="NY25" s="25"/>
      <c r="NZ25" s="25"/>
      <c r="OA25" s="25"/>
      <c r="OB25" s="25"/>
      <c r="OC25" s="25"/>
      <c r="OD25" s="25"/>
      <c r="OE25" s="25"/>
      <c r="OF25" s="25"/>
      <c r="OG25" s="25"/>
      <c r="OH25" s="25"/>
      <c r="OI25" s="25"/>
      <c r="OJ25" s="25"/>
      <c r="OK25" s="25"/>
      <c r="OL25" s="25"/>
      <c r="OM25" s="25"/>
      <c r="ON25" s="25"/>
      <c r="OO25" s="25"/>
      <c r="OP25" s="25"/>
      <c r="OQ25" s="25"/>
      <c r="OR25" s="25"/>
      <c r="OS25" s="25"/>
      <c r="OT25" s="25"/>
      <c r="OU25" s="25"/>
      <c r="OV25" s="25"/>
      <c r="OW25" s="25"/>
      <c r="OX25" s="25"/>
      <c r="OY25" s="25"/>
      <c r="OZ25" s="25"/>
      <c r="PA25" s="25"/>
      <c r="PB25" s="25"/>
      <c r="PC25" s="25"/>
      <c r="PD25" s="25"/>
      <c r="PE25" s="25"/>
      <c r="PF25" s="25"/>
      <c r="PG25" s="25"/>
      <c r="PH25" s="25"/>
      <c r="PI25" s="25"/>
      <c r="PJ25" s="25"/>
      <c r="PK25" s="25"/>
      <c r="PL25" s="25"/>
      <c r="PM25" s="25"/>
      <c r="PN25" s="25"/>
      <c r="PO25" s="25"/>
      <c r="PP25" s="25"/>
      <c r="PQ25" s="25"/>
      <c r="PR25" s="25"/>
      <c r="PS25" s="25"/>
      <c r="PT25" s="25"/>
      <c r="PU25" s="25"/>
      <c r="PV25" s="25"/>
      <c r="PW25" s="25"/>
      <c r="PX25" s="25"/>
      <c r="PY25" s="25"/>
      <c r="PZ25" s="25"/>
      <c r="QA25" s="25"/>
      <c r="QB25" s="25"/>
      <c r="QC25" s="25"/>
      <c r="QD25" s="25"/>
      <c r="QE25" s="25"/>
      <c r="QF25" s="25"/>
      <c r="QG25" s="25"/>
      <c r="QH25" s="25"/>
      <c r="QI25" s="25"/>
      <c r="QJ25" s="25"/>
      <c r="QK25" s="25"/>
      <c r="QL25" s="25"/>
      <c r="QM25" s="25"/>
      <c r="QN25" s="25"/>
      <c r="QO25" s="25"/>
      <c r="QP25" s="25"/>
      <c r="QQ25" s="25"/>
      <c r="QR25" s="25"/>
      <c r="QS25" s="25"/>
      <c r="QT25" s="25"/>
      <c r="QU25" s="25"/>
      <c r="QV25" s="25"/>
      <c r="QW25" s="25"/>
      <c r="QX25" s="25"/>
      <c r="QY25" s="25"/>
      <c r="QZ25" s="25"/>
      <c r="RA25" s="25"/>
      <c r="RB25" s="25"/>
      <c r="RC25" s="25"/>
      <c r="RD25" s="25"/>
      <c r="RE25" s="25"/>
      <c r="RF25" s="25"/>
      <c r="RG25" s="25"/>
      <c r="RH25" s="25"/>
      <c r="RI25" s="25"/>
      <c r="RJ25" s="25"/>
      <c r="RK25" s="25"/>
      <c r="RL25" s="25"/>
      <c r="RM25" s="25"/>
      <c r="RN25" s="25"/>
      <c r="RO25" s="25"/>
      <c r="RP25" s="25"/>
      <c r="RQ25" s="25"/>
      <c r="RR25" s="25"/>
      <c r="RS25" s="25"/>
      <c r="RT25" s="25"/>
      <c r="RU25" s="25"/>
      <c r="RV25" s="25"/>
      <c r="RW25" s="25"/>
      <c r="RX25" s="25"/>
      <c r="RY25" s="25"/>
      <c r="RZ25" s="25"/>
      <c r="SA25" s="25"/>
      <c r="SB25" s="25"/>
      <c r="SC25" s="25"/>
      <c r="SD25" s="25"/>
      <c r="SE25" s="25"/>
      <c r="SF25" s="25"/>
      <c r="SG25" s="25"/>
      <c r="SH25" s="25"/>
      <c r="SI25" s="25"/>
      <c r="SJ25" s="25"/>
      <c r="SK25" s="25"/>
      <c r="SL25" s="25"/>
      <c r="SM25" s="25"/>
      <c r="SN25" s="25"/>
      <c r="SO25" s="25"/>
      <c r="SP25" s="25"/>
      <c r="SQ25" s="25"/>
      <c r="SR25" s="25"/>
      <c r="SS25" s="25"/>
      <c r="ST25" s="25"/>
      <c r="SU25" s="25"/>
      <c r="SV25" s="25"/>
      <c r="SW25" s="25"/>
      <c r="SX25" s="25"/>
      <c r="SY25" s="25"/>
      <c r="SZ25" s="25"/>
      <c r="TA25" s="25"/>
      <c r="TB25" s="25"/>
      <c r="TC25" s="25"/>
      <c r="TD25" s="25"/>
      <c r="TE25" s="25"/>
      <c r="TF25" s="25"/>
      <c r="TG25" s="25"/>
      <c r="TH25" s="25"/>
      <c r="TI25" s="25"/>
      <c r="TJ25" s="25"/>
      <c r="TK25" s="25"/>
      <c r="TL25" s="25"/>
      <c r="TM25" s="25"/>
      <c r="TN25" s="25"/>
      <c r="TO25" s="25"/>
      <c r="TP25" s="25"/>
      <c r="TQ25" s="25"/>
      <c r="TR25" s="25"/>
      <c r="TS25" s="25"/>
      <c r="TT25" s="25"/>
      <c r="TU25" s="25"/>
      <c r="TV25" s="25"/>
      <c r="TW25" s="25"/>
      <c r="TX25" s="25"/>
      <c r="TY25" s="25"/>
      <c r="TZ25" s="25"/>
      <c r="UA25" s="25"/>
      <c r="UB25" s="25"/>
      <c r="UC25" s="25"/>
      <c r="UD25" s="25"/>
      <c r="UE25" s="25"/>
      <c r="UF25" s="25"/>
      <c r="UG25" s="25"/>
      <c r="UH25" s="25"/>
      <c r="UI25" s="25"/>
      <c r="UJ25" s="25"/>
      <c r="UK25" s="25"/>
      <c r="UL25" s="25"/>
      <c r="UM25" s="25"/>
      <c r="UN25" s="25"/>
      <c r="UO25" s="25"/>
      <c r="UP25" s="25"/>
      <c r="UQ25" s="25"/>
      <c r="UR25" s="25"/>
      <c r="US25" s="25"/>
      <c r="UT25" s="25"/>
      <c r="UU25" s="25"/>
      <c r="UV25" s="25"/>
      <c r="UW25" s="25"/>
      <c r="UX25" s="25"/>
      <c r="UY25" s="25"/>
      <c r="UZ25" s="25"/>
      <c r="VA25" s="25"/>
      <c r="VB25" s="25"/>
      <c r="VC25" s="25"/>
      <c r="VD25" s="25"/>
      <c r="VE25" s="25"/>
      <c r="VF25" s="25"/>
      <c r="VG25" s="25"/>
      <c r="VH25" s="25"/>
      <c r="VI25" s="25"/>
      <c r="VJ25" s="25"/>
      <c r="VK25" s="25"/>
      <c r="VL25" s="25"/>
      <c r="VM25" s="25"/>
      <c r="VN25" s="25"/>
      <c r="VO25" s="25"/>
      <c r="VP25" s="25"/>
      <c r="VQ25" s="25"/>
      <c r="VR25" s="25"/>
      <c r="VS25" s="25"/>
      <c r="VT25" s="25"/>
      <c r="VU25" s="25"/>
      <c r="VV25" s="25"/>
      <c r="VW25" s="25"/>
      <c r="VX25" s="25"/>
      <c r="VY25" s="25"/>
      <c r="VZ25" s="25"/>
      <c r="WA25" s="25"/>
      <c r="WB25" s="25"/>
      <c r="WC25" s="25"/>
      <c r="WD25" s="25"/>
      <c r="WE25" s="25"/>
      <c r="WF25" s="25"/>
      <c r="WG25" s="25"/>
      <c r="WH25" s="25"/>
      <c r="WI25" s="25"/>
      <c r="WJ25" s="25"/>
      <c r="WK25" s="25"/>
      <c r="WL25" s="25"/>
      <c r="WM25" s="25"/>
      <c r="WN25" s="25"/>
      <c r="WO25" s="25"/>
      <c r="WP25" s="25"/>
      <c r="WQ25" s="25"/>
      <c r="WR25" s="25"/>
      <c r="WS25" s="25"/>
      <c r="WT25" s="25"/>
      <c r="WU25" s="25"/>
      <c r="WV25" s="25"/>
      <c r="WW25" s="25"/>
      <c r="WX25" s="25"/>
      <c r="WY25" s="25"/>
      <c r="WZ25" s="25"/>
      <c r="XA25" s="25"/>
      <c r="XB25" s="25"/>
      <c r="XC25" s="25"/>
      <c r="XD25" s="25"/>
      <c r="XE25" s="25"/>
      <c r="XF25" s="25"/>
      <c r="XG25" s="25"/>
      <c r="XH25" s="25"/>
      <c r="XI25" s="25"/>
      <c r="XJ25" s="25"/>
      <c r="XK25" s="25"/>
      <c r="XL25" s="25"/>
      <c r="XM25" s="25"/>
      <c r="XN25" s="25"/>
      <c r="XO25" s="25"/>
      <c r="XP25" s="25"/>
      <c r="XQ25" s="25"/>
      <c r="XR25" s="25"/>
      <c r="XS25" s="25"/>
      <c r="XT25" s="25"/>
      <c r="XU25" s="25"/>
      <c r="XV25" s="25"/>
      <c r="XW25" s="25"/>
      <c r="XX25" s="25"/>
      <c r="XY25" s="25"/>
      <c r="XZ25" s="25"/>
      <c r="YA25" s="25"/>
      <c r="YB25" s="25"/>
      <c r="YC25" s="25"/>
      <c r="YD25" s="25"/>
      <c r="YE25" s="25"/>
      <c r="YF25" s="25"/>
      <c r="YG25" s="25"/>
      <c r="YH25" s="25"/>
      <c r="YI25" s="25"/>
      <c r="YJ25" s="25"/>
      <c r="YK25" s="25"/>
      <c r="YL25" s="25"/>
      <c r="YM25" s="25"/>
      <c r="YN25" s="25"/>
      <c r="YO25" s="25"/>
      <c r="YP25" s="25"/>
      <c r="YQ25" s="25"/>
      <c r="YR25" s="25"/>
      <c r="YS25" s="25"/>
      <c r="YT25" s="25"/>
      <c r="YU25" s="25"/>
      <c r="YV25" s="25"/>
      <c r="YW25" s="25"/>
      <c r="YX25" s="25"/>
      <c r="YY25" s="25"/>
      <c r="YZ25" s="25"/>
      <c r="ZA25" s="25"/>
      <c r="ZB25" s="25"/>
      <c r="ZC25" s="25"/>
      <c r="ZD25" s="25"/>
      <c r="ZE25" s="25"/>
      <c r="ZF25" s="25"/>
      <c r="ZG25" s="25"/>
      <c r="ZH25" s="25"/>
      <c r="ZI25" s="25"/>
      <c r="ZJ25" s="25"/>
      <c r="ZK25" s="25"/>
      <c r="ZL25" s="25"/>
      <c r="ZM25" s="25"/>
      <c r="ZN25" s="25"/>
      <c r="ZO25" s="25"/>
      <c r="ZP25" s="25"/>
      <c r="ZQ25" s="25"/>
      <c r="ZR25" s="25"/>
      <c r="ZS25" s="25"/>
      <c r="ZT25" s="25"/>
      <c r="ZU25" s="25"/>
      <c r="ZV25" s="25"/>
      <c r="ZW25" s="25"/>
      <c r="ZX25" s="25"/>
      <c r="ZY25" s="25"/>
      <c r="ZZ25" s="25"/>
      <c r="AAA25" s="25"/>
      <c r="AAB25" s="25"/>
      <c r="AAC25" s="25"/>
      <c r="AAD25" s="25"/>
      <c r="AAE25" s="25"/>
      <c r="AAF25" s="25"/>
      <c r="AAG25" s="25"/>
      <c r="AAH25" s="25"/>
      <c r="AAI25" s="25"/>
      <c r="AAJ25" s="25"/>
      <c r="AAK25" s="25"/>
      <c r="AAL25" s="25"/>
      <c r="AAM25" s="25"/>
      <c r="AAN25" s="25"/>
      <c r="AAO25" s="25"/>
      <c r="AAP25" s="25"/>
      <c r="AAQ25" s="25"/>
      <c r="AAR25" s="25"/>
      <c r="AAS25" s="25"/>
      <c r="AAT25" s="25"/>
      <c r="AAU25" s="25"/>
      <c r="AAV25" s="25"/>
      <c r="AAW25" s="25"/>
      <c r="AAX25" s="25"/>
      <c r="AAY25" s="25"/>
      <c r="AAZ25" s="25"/>
      <c r="ABA25" s="25"/>
      <c r="ABB25" s="25"/>
      <c r="ABC25" s="25"/>
      <c r="ABD25" s="25"/>
      <c r="ABE25" s="25"/>
      <c r="ABF25" s="25"/>
      <c r="ABG25" s="25"/>
      <c r="ABH25" s="25"/>
      <c r="ABI25" s="25"/>
      <c r="ABJ25" s="25"/>
      <c r="ABK25" s="25"/>
      <c r="ABL25" s="25"/>
      <c r="ABM25" s="25"/>
      <c r="ABN25" s="25"/>
      <c r="ABO25" s="25"/>
      <c r="ABP25" s="25"/>
      <c r="ABQ25" s="25"/>
      <c r="ABR25" s="25"/>
      <c r="ABS25" s="25"/>
      <c r="ABT25" s="25"/>
      <c r="ABU25" s="25"/>
      <c r="ABV25" s="25"/>
      <c r="ABW25" s="25"/>
      <c r="ABX25" s="25"/>
      <c r="ABY25" s="25"/>
      <c r="ABZ25" s="25"/>
      <c r="ACA25" s="25"/>
      <c r="ACB25" s="25"/>
      <c r="ACC25" s="25"/>
      <c r="ACD25" s="25"/>
      <c r="ACE25" s="25"/>
      <c r="ACF25" s="25"/>
      <c r="ACG25" s="25"/>
      <c r="ACH25" s="25"/>
      <c r="ACI25" s="25"/>
      <c r="ACJ25" s="25"/>
      <c r="ACK25" s="25"/>
      <c r="ACL25" s="25"/>
      <c r="ACM25" s="25"/>
      <c r="ACN25" s="25"/>
      <c r="ACO25" s="25"/>
      <c r="ACP25" s="25"/>
      <c r="ACQ25" s="25"/>
      <c r="ACR25" s="25"/>
      <c r="ACS25" s="25"/>
      <c r="ACT25" s="25"/>
      <c r="ACU25" s="25"/>
      <c r="ACV25" s="25"/>
      <c r="ACW25" s="25"/>
      <c r="ACX25" s="25"/>
      <c r="ACY25" s="25"/>
      <c r="ACZ25" s="25"/>
      <c r="ADA25" s="25"/>
      <c r="ADB25" s="25"/>
      <c r="ADC25" s="25"/>
      <c r="ADD25" s="25"/>
      <c r="ADE25" s="25"/>
      <c r="ADF25" s="25"/>
      <c r="ADG25" s="25"/>
      <c r="ADH25" s="25"/>
      <c r="ADI25" s="25"/>
      <c r="ADJ25" s="25"/>
      <c r="ADK25" s="25"/>
      <c r="ADL25" s="25"/>
      <c r="ADM25" s="25"/>
      <c r="ADN25" s="25"/>
      <c r="ADO25" s="25"/>
      <c r="ADP25" s="25"/>
      <c r="ADQ25" s="25"/>
      <c r="ADR25" s="25"/>
      <c r="ADS25" s="25"/>
      <c r="ADT25" s="25"/>
      <c r="ADU25" s="25"/>
      <c r="ADV25" s="25"/>
      <c r="ADW25" s="25"/>
      <c r="ADX25" s="25"/>
      <c r="ADY25" s="25"/>
      <c r="ADZ25" s="25"/>
      <c r="AEA25" s="25"/>
      <c r="AEB25" s="25"/>
      <c r="AEC25" s="25"/>
      <c r="AED25" s="25"/>
      <c r="AEE25" s="25"/>
      <c r="AEF25" s="25"/>
      <c r="AEG25" s="25"/>
      <c r="AEH25" s="25"/>
      <c r="AEI25" s="25"/>
      <c r="AEJ25" s="25"/>
      <c r="AEK25" s="25"/>
      <c r="AEL25" s="25"/>
      <c r="AEM25" s="25"/>
      <c r="AEN25" s="25"/>
      <c r="AEO25" s="25"/>
      <c r="AEP25" s="25"/>
      <c r="AEQ25" s="25"/>
      <c r="AER25" s="25"/>
      <c r="AES25" s="25"/>
      <c r="AET25" s="25"/>
      <c r="AEU25" s="25"/>
      <c r="AEV25" s="25"/>
      <c r="AEW25" s="25"/>
      <c r="AEX25" s="25"/>
      <c r="AEY25" s="25"/>
      <c r="AEZ25" s="25"/>
      <c r="AFA25" s="25"/>
      <c r="AFB25" s="25"/>
      <c r="AFC25" s="25"/>
      <c r="AFD25" s="25"/>
      <c r="AFE25" s="25"/>
      <c r="AFF25" s="25"/>
      <c r="AFG25" s="25"/>
      <c r="AFH25" s="25"/>
      <c r="AFI25" s="25"/>
      <c r="AFJ25" s="25"/>
      <c r="AFK25" s="25"/>
      <c r="AFL25" s="25"/>
      <c r="AFM25" s="25"/>
      <c r="AFN25" s="25"/>
      <c r="AFO25" s="25"/>
      <c r="AFP25" s="25"/>
      <c r="AFQ25" s="25"/>
      <c r="AFR25" s="25"/>
      <c r="AFS25" s="25"/>
      <c r="AFT25" s="25"/>
      <c r="AFU25" s="25"/>
      <c r="AFV25" s="25"/>
      <c r="AFW25" s="25"/>
      <c r="AFX25" s="25"/>
      <c r="AFY25" s="25"/>
      <c r="AFZ25" s="25"/>
      <c r="AGA25" s="25"/>
      <c r="AGB25" s="25"/>
      <c r="AGC25" s="25"/>
      <c r="AGD25" s="25"/>
      <c r="AGE25" s="25"/>
      <c r="AGF25" s="25"/>
      <c r="AGG25" s="25"/>
      <c r="AGH25" s="25"/>
      <c r="AGI25" s="25"/>
      <c r="AGJ25" s="25"/>
      <c r="AGK25" s="25"/>
      <c r="AGL25" s="25"/>
      <c r="AGM25" s="25"/>
      <c r="AGN25" s="25"/>
      <c r="AGO25" s="25"/>
      <c r="AGP25" s="25"/>
      <c r="AGQ25" s="25"/>
      <c r="AGR25" s="25"/>
      <c r="AGS25" s="25"/>
      <c r="AGT25" s="25"/>
      <c r="AGU25" s="25"/>
      <c r="AGV25" s="25"/>
      <c r="AGW25" s="25"/>
      <c r="AGX25" s="25"/>
      <c r="AGY25" s="25"/>
      <c r="AGZ25" s="25"/>
      <c r="AHA25" s="25"/>
      <c r="AHB25" s="25"/>
      <c r="AHC25" s="25"/>
      <c r="AHD25" s="25"/>
      <c r="AHE25" s="25"/>
      <c r="AHF25" s="25"/>
      <c r="AHG25" s="25"/>
      <c r="AHH25" s="25"/>
      <c r="AHI25" s="25"/>
      <c r="AHJ25" s="25"/>
      <c r="AHK25" s="25"/>
      <c r="AHL25" s="25"/>
      <c r="AHM25" s="25"/>
      <c r="AHN25" s="25"/>
      <c r="AHO25" s="25"/>
      <c r="AHP25" s="25"/>
      <c r="AHQ25" s="25"/>
      <c r="AHR25" s="25"/>
      <c r="AHS25" s="25"/>
      <c r="AHT25" s="25"/>
      <c r="AHU25" s="25"/>
      <c r="AHV25" s="25"/>
      <c r="AHW25" s="25"/>
      <c r="AHX25" s="25"/>
      <c r="AHY25" s="25"/>
      <c r="AHZ25" s="25"/>
      <c r="AIA25" s="25"/>
      <c r="AIB25" s="25"/>
      <c r="AIC25" s="25"/>
      <c r="AID25" s="25"/>
      <c r="AIE25" s="25"/>
      <c r="AIF25" s="25"/>
      <c r="AIG25" s="25"/>
      <c r="AIH25" s="25"/>
      <c r="AII25" s="25"/>
      <c r="AIJ25" s="25"/>
      <c r="AIK25" s="25"/>
      <c r="AIL25" s="25"/>
      <c r="AIM25" s="25"/>
      <c r="AIN25" s="25"/>
      <c r="AIO25" s="25"/>
      <c r="AIP25" s="25"/>
      <c r="AIQ25" s="25"/>
      <c r="AIR25" s="25"/>
      <c r="AIS25" s="25"/>
      <c r="AIT25" s="25"/>
      <c r="AIU25" s="25"/>
      <c r="AIV25" s="25"/>
      <c r="AIW25" s="25"/>
      <c r="AIX25" s="25"/>
      <c r="AIY25" s="25"/>
      <c r="AIZ25" s="25"/>
      <c r="AJA25" s="25"/>
      <c r="AJB25" s="25"/>
      <c r="AJC25" s="25"/>
      <c r="AJD25" s="25"/>
      <c r="AJE25" s="25"/>
      <c r="AJF25" s="25"/>
      <c r="AJG25" s="25"/>
      <c r="AJH25" s="25"/>
      <c r="AJI25" s="25"/>
      <c r="AJJ25" s="25"/>
      <c r="AJK25" s="25"/>
      <c r="AJL25" s="25"/>
      <c r="AJM25" s="25"/>
      <c r="AJN25" s="25"/>
      <c r="AJO25" s="25"/>
      <c r="AJP25" s="25"/>
      <c r="AJQ25" s="25"/>
      <c r="AJR25" s="25"/>
      <c r="AJS25" s="25"/>
      <c r="AJT25" s="25"/>
      <c r="AJU25" s="25"/>
      <c r="AJV25" s="25"/>
      <c r="AJW25" s="25"/>
      <c r="AJX25" s="25"/>
      <c r="AJY25" s="25"/>
      <c r="AJZ25" s="25"/>
      <c r="AKA25" s="25"/>
      <c r="AKB25" s="25"/>
      <c r="AKC25" s="25"/>
      <c r="AKD25" s="25"/>
      <c r="AKE25" s="25"/>
      <c r="AKF25" s="25"/>
      <c r="AKG25" s="25"/>
      <c r="AKH25" s="25"/>
      <c r="AKI25" s="25"/>
      <c r="AKJ25" s="25"/>
      <c r="AKK25" s="25"/>
      <c r="AKL25" s="25"/>
      <c r="AKM25" s="25"/>
      <c r="AKN25" s="25"/>
      <c r="AKO25" s="25"/>
      <c r="AKP25" s="25"/>
      <c r="AKQ25" s="25"/>
      <c r="AKR25" s="25"/>
      <c r="AKS25" s="25"/>
      <c r="AKT25" s="25"/>
      <c r="AKU25" s="25"/>
      <c r="AKV25" s="25"/>
      <c r="AKW25" s="25"/>
      <c r="AKX25" s="25"/>
      <c r="AKY25" s="25"/>
      <c r="AKZ25" s="25"/>
      <c r="ALA25" s="25"/>
      <c r="ALB25" s="25"/>
      <c r="ALC25" s="25"/>
      <c r="ALD25" s="25"/>
      <c r="ALE25" s="25"/>
      <c r="ALF25" s="25"/>
      <c r="ALG25" s="25"/>
      <c r="ALH25" s="25"/>
      <c r="ALI25" s="25"/>
      <c r="ALJ25" s="25"/>
      <c r="ALK25" s="25"/>
      <c r="ALL25" s="25"/>
      <c r="ALM25" s="25"/>
      <c r="ALN25" s="25"/>
      <c r="ALO25" s="25"/>
      <c r="ALP25" s="25"/>
      <c r="ALQ25" s="25"/>
      <c r="ALR25" s="25"/>
      <c r="ALS25" s="25"/>
      <c r="ALT25" s="25"/>
      <c r="ALU25" s="25"/>
      <c r="ALV25" s="25"/>
      <c r="ALW25" s="25"/>
      <c r="ALX25" s="25"/>
      <c r="ALY25" s="25"/>
      <c r="ALZ25" s="25"/>
      <c r="AMA25" s="25"/>
      <c r="AMB25" s="25"/>
      <c r="AMC25" s="25"/>
      <c r="AMD25" s="25"/>
      <c r="AME25" s="25"/>
      <c r="AMF25" s="25"/>
      <c r="AMG25" s="25"/>
      <c r="AMH25" s="25"/>
      <c r="AMI25" s="25"/>
      <c r="AMJ25" s="25"/>
      <c r="AMK25" s="25"/>
      <c r="AML25" s="25"/>
      <c r="AMM25" s="25"/>
      <c r="AMN25" s="25"/>
      <c r="AMO25" s="25"/>
      <c r="AMP25" s="25"/>
      <c r="AMQ25" s="25"/>
      <c r="AMR25" s="25"/>
      <c r="AMS25" s="25"/>
      <c r="AMT25" s="25"/>
      <c r="AMU25" s="25"/>
      <c r="AMV25" s="25"/>
      <c r="AMW25" s="25"/>
      <c r="AMX25" s="25"/>
      <c r="AMY25" s="25"/>
      <c r="AMZ25" s="25"/>
      <c r="ANA25" s="25"/>
      <c r="ANB25" s="25"/>
      <c r="ANC25" s="25"/>
      <c r="AND25" s="25"/>
      <c r="ANE25" s="25"/>
      <c r="ANF25" s="25"/>
      <c r="ANG25" s="25"/>
      <c r="ANH25" s="25"/>
      <c r="ANI25" s="25"/>
      <c r="ANJ25" s="25"/>
      <c r="ANK25" s="25"/>
      <c r="ANL25" s="25"/>
      <c r="ANM25" s="25"/>
      <c r="ANN25" s="25"/>
      <c r="ANO25" s="25"/>
      <c r="ANP25" s="25"/>
      <c r="ANQ25" s="25"/>
      <c r="ANR25" s="25"/>
      <c r="ANS25" s="25"/>
      <c r="ANT25" s="25"/>
      <c r="ANU25" s="25"/>
      <c r="ANV25" s="25"/>
      <c r="ANW25" s="25"/>
      <c r="ANX25" s="25"/>
      <c r="ANY25" s="25"/>
      <c r="ANZ25" s="25"/>
      <c r="AOA25" s="25"/>
      <c r="AOB25" s="25"/>
      <c r="AOC25" s="25"/>
      <c r="AOD25" s="25"/>
      <c r="AOE25" s="25"/>
      <c r="AOF25" s="25"/>
      <c r="AOG25" s="25"/>
      <c r="AOH25" s="25"/>
      <c r="AOI25" s="25"/>
      <c r="AOJ25" s="25"/>
      <c r="AOK25" s="25"/>
      <c r="AOL25" s="25"/>
      <c r="AOM25" s="25"/>
      <c r="AON25" s="25"/>
      <c r="AOO25" s="25"/>
      <c r="AOP25" s="25"/>
      <c r="AOQ25" s="25"/>
      <c r="AOR25" s="25"/>
      <c r="AOS25" s="25"/>
      <c r="AOT25" s="25"/>
      <c r="AOU25" s="25"/>
      <c r="AOV25" s="25"/>
      <c r="AOW25" s="25"/>
      <c r="AOX25" s="25"/>
      <c r="AOY25" s="25"/>
      <c r="AOZ25" s="25"/>
      <c r="APA25" s="25"/>
      <c r="APB25" s="25"/>
      <c r="APC25" s="25"/>
      <c r="APD25" s="25"/>
      <c r="APE25" s="25"/>
      <c r="APF25" s="25"/>
      <c r="APG25" s="25"/>
      <c r="APH25" s="25"/>
      <c r="API25" s="25"/>
      <c r="APJ25" s="25"/>
      <c r="APK25" s="25"/>
      <c r="APL25" s="25"/>
      <c r="APM25" s="25"/>
      <c r="APN25" s="25"/>
      <c r="APO25" s="25"/>
      <c r="APP25" s="25"/>
      <c r="APQ25" s="25"/>
      <c r="APR25" s="25"/>
      <c r="APS25" s="25"/>
      <c r="APT25" s="25"/>
      <c r="APU25" s="25"/>
      <c r="APV25" s="25"/>
      <c r="APW25" s="25"/>
      <c r="APX25" s="25"/>
      <c r="APY25" s="25"/>
      <c r="APZ25" s="25"/>
      <c r="AQA25" s="25"/>
      <c r="AQB25" s="25"/>
      <c r="AQC25" s="25"/>
      <c r="AQD25" s="25"/>
      <c r="AQE25" s="25"/>
      <c r="AQF25" s="25"/>
      <c r="AQG25" s="25"/>
      <c r="AQH25" s="25"/>
      <c r="AQI25" s="25"/>
      <c r="AQJ25" s="25"/>
      <c r="AQK25" s="25"/>
      <c r="AQL25" s="25"/>
      <c r="AQM25" s="25"/>
      <c r="AQN25" s="25"/>
      <c r="AQO25" s="25"/>
      <c r="AQP25" s="25"/>
      <c r="AQQ25" s="25"/>
      <c r="AQR25" s="25"/>
      <c r="AQS25" s="25"/>
      <c r="AQT25" s="25"/>
      <c r="AQU25" s="25"/>
      <c r="AQV25" s="25"/>
      <c r="AQW25" s="25"/>
      <c r="AQX25" s="25"/>
      <c r="AQY25" s="25"/>
      <c r="AQZ25" s="25"/>
      <c r="ARA25" s="25"/>
      <c r="ARB25" s="25"/>
      <c r="ARC25" s="25"/>
      <c r="ARD25" s="25"/>
      <c r="ARE25" s="25"/>
      <c r="ARF25" s="25"/>
      <c r="ARG25" s="25"/>
      <c r="ARH25" s="25"/>
      <c r="ARI25" s="25"/>
      <c r="ARJ25" s="25"/>
      <c r="ARK25" s="25"/>
      <c r="ARL25" s="25"/>
      <c r="ARM25" s="25"/>
      <c r="ARN25" s="25"/>
      <c r="ARO25" s="25"/>
      <c r="ARP25" s="25"/>
      <c r="ARQ25" s="25"/>
      <c r="ARR25" s="25"/>
      <c r="ARS25" s="25"/>
      <c r="ART25" s="25"/>
      <c r="ARU25" s="25"/>
      <c r="ARV25" s="25"/>
      <c r="ARW25" s="25"/>
      <c r="ARX25" s="25"/>
      <c r="ARY25" s="25"/>
      <c r="ARZ25" s="25"/>
      <c r="ASA25" s="25"/>
      <c r="ASB25" s="25"/>
      <c r="ASC25" s="25"/>
      <c r="ASD25" s="25"/>
      <c r="ASE25" s="25"/>
      <c r="ASF25" s="25"/>
      <c r="ASG25" s="25"/>
      <c r="ASH25" s="25"/>
      <c r="ASI25" s="25"/>
      <c r="ASJ25" s="25"/>
      <c r="ASK25" s="25"/>
      <c r="ASL25" s="25"/>
      <c r="ASM25" s="25"/>
      <c r="ASN25" s="25"/>
      <c r="ASO25" s="25"/>
      <c r="ASP25" s="25"/>
      <c r="ASQ25" s="25"/>
      <c r="ASR25" s="25"/>
      <c r="ASS25" s="25"/>
      <c r="AST25" s="25"/>
      <c r="ASU25" s="25"/>
      <c r="ASV25" s="25"/>
      <c r="ASW25" s="25"/>
      <c r="ASX25" s="25"/>
      <c r="ASY25" s="25"/>
      <c r="ASZ25" s="25"/>
      <c r="ATA25" s="25"/>
      <c r="ATB25" s="25"/>
      <c r="ATC25" s="25"/>
      <c r="ATD25" s="25"/>
      <c r="ATE25" s="25"/>
      <c r="ATF25" s="25"/>
      <c r="ATG25" s="25"/>
      <c r="ATH25" s="25"/>
      <c r="ATI25" s="25"/>
      <c r="ATJ25" s="25"/>
      <c r="ATK25" s="25"/>
      <c r="ATL25" s="25"/>
      <c r="ATM25" s="25"/>
      <c r="ATN25" s="25"/>
      <c r="ATO25" s="25"/>
      <c r="ATP25" s="25"/>
      <c r="ATQ25" s="25"/>
      <c r="ATR25" s="25"/>
      <c r="ATS25" s="25"/>
      <c r="ATT25" s="25"/>
      <c r="ATU25" s="25"/>
      <c r="ATV25" s="25"/>
      <c r="ATW25" s="25"/>
      <c r="ATX25" s="25"/>
      <c r="ATY25" s="25"/>
      <c r="ATZ25" s="25"/>
      <c r="AUA25" s="25"/>
      <c r="AUB25" s="25"/>
      <c r="AUC25" s="25"/>
      <c r="AUD25" s="25"/>
      <c r="AUE25" s="25"/>
      <c r="AUF25" s="25"/>
      <c r="AUG25" s="25"/>
      <c r="AUH25" s="25"/>
      <c r="AUI25" s="25"/>
      <c r="AUJ25" s="25"/>
      <c r="AUK25" s="25"/>
      <c r="AUL25" s="25"/>
      <c r="AUM25" s="25"/>
      <c r="AUN25" s="25"/>
      <c r="AUO25" s="25"/>
      <c r="AUP25" s="25"/>
      <c r="AUQ25" s="25"/>
      <c r="AUR25" s="25"/>
      <c r="AUS25" s="25"/>
      <c r="AUT25" s="25"/>
      <c r="AUU25" s="25"/>
      <c r="AUV25" s="25"/>
      <c r="AUW25" s="25"/>
      <c r="AUX25" s="25"/>
      <c r="AUY25" s="25"/>
      <c r="AUZ25" s="25"/>
      <c r="AVA25" s="25"/>
      <c r="AVB25" s="25"/>
      <c r="AVC25" s="25"/>
      <c r="AVD25" s="25"/>
      <c r="AVE25" s="25"/>
      <c r="AVF25" s="25"/>
      <c r="AVG25" s="25"/>
      <c r="AVH25" s="25"/>
      <c r="AVI25" s="25"/>
      <c r="AVJ25" s="25"/>
      <c r="AVK25" s="25"/>
      <c r="AVL25" s="25"/>
      <c r="AVM25" s="25"/>
      <c r="AVN25" s="25"/>
      <c r="AVO25" s="25"/>
      <c r="AVP25" s="25"/>
      <c r="AVQ25" s="25"/>
      <c r="AVR25" s="25"/>
      <c r="AVS25" s="25"/>
      <c r="AVT25" s="25"/>
      <c r="AVU25" s="25"/>
      <c r="AVV25" s="25"/>
      <c r="AVW25" s="25"/>
      <c r="AVX25" s="25"/>
      <c r="AVY25" s="25"/>
      <c r="AVZ25" s="25"/>
      <c r="AWA25" s="25"/>
      <c r="AWB25" s="25"/>
      <c r="AWC25" s="25"/>
      <c r="AWD25" s="25"/>
      <c r="AWE25" s="25"/>
      <c r="AWF25" s="25"/>
      <c r="AWG25" s="25"/>
      <c r="AWH25" s="25"/>
      <c r="AWI25" s="25"/>
      <c r="AWJ25" s="25"/>
      <c r="AWK25" s="25"/>
      <c r="AWL25" s="25"/>
      <c r="AWM25" s="25"/>
      <c r="AWN25" s="25"/>
      <c r="AWO25" s="25"/>
      <c r="AWP25" s="25"/>
      <c r="AWQ25" s="25"/>
      <c r="AWR25" s="25"/>
      <c r="AWS25" s="25"/>
      <c r="AWT25" s="25"/>
      <c r="AWU25" s="25"/>
      <c r="AWV25" s="25"/>
      <c r="AWW25" s="25"/>
      <c r="AWX25" s="25"/>
      <c r="AWY25" s="25"/>
      <c r="AWZ25" s="25"/>
      <c r="AXA25" s="25"/>
      <c r="AXB25" s="25"/>
      <c r="AXC25" s="25"/>
      <c r="AXD25" s="25"/>
      <c r="AXE25" s="25"/>
      <c r="AXF25" s="25"/>
      <c r="AXG25" s="25"/>
      <c r="AXH25" s="25"/>
      <c r="AXI25" s="25"/>
      <c r="AXJ25" s="25"/>
      <c r="AXK25" s="25"/>
      <c r="AXL25" s="25"/>
      <c r="AXM25" s="25"/>
      <c r="AXN25" s="25"/>
      <c r="AXO25" s="25"/>
      <c r="AXP25" s="25"/>
      <c r="AXQ25" s="25"/>
      <c r="AXR25" s="25"/>
      <c r="AXS25" s="25"/>
      <c r="AXT25" s="25"/>
      <c r="AXU25" s="25"/>
      <c r="AXV25" s="25"/>
      <c r="AXW25" s="25"/>
      <c r="AXX25" s="25"/>
      <c r="AXY25" s="25"/>
      <c r="AXZ25" s="25"/>
      <c r="AYA25" s="25"/>
      <c r="AYB25" s="25"/>
      <c r="AYC25" s="25"/>
      <c r="AYD25" s="25"/>
      <c r="AYE25" s="25"/>
      <c r="AYF25" s="25"/>
      <c r="AYG25" s="25"/>
      <c r="AYH25" s="25"/>
      <c r="AYI25" s="25"/>
      <c r="AYJ25" s="25"/>
      <c r="AYK25" s="25"/>
      <c r="AYL25" s="25"/>
      <c r="AYM25" s="25"/>
      <c r="AYN25" s="25"/>
      <c r="AYO25" s="25"/>
      <c r="AYP25" s="25"/>
      <c r="AYQ25" s="25"/>
      <c r="AYR25" s="25"/>
      <c r="AYS25" s="25"/>
      <c r="AYT25" s="25"/>
      <c r="AYU25" s="25"/>
      <c r="AYV25" s="25"/>
      <c r="AYW25" s="25"/>
      <c r="AYX25" s="25"/>
      <c r="AYY25" s="25"/>
      <c r="AYZ25" s="25"/>
      <c r="AZA25" s="25"/>
      <c r="AZB25" s="25"/>
      <c r="AZC25" s="25"/>
      <c r="AZD25" s="25"/>
      <c r="AZE25" s="25"/>
      <c r="AZF25" s="25"/>
      <c r="AZG25" s="25"/>
      <c r="AZH25" s="25"/>
      <c r="AZI25" s="25"/>
      <c r="AZJ25" s="25"/>
      <c r="AZK25" s="25"/>
      <c r="AZL25" s="25"/>
      <c r="AZM25" s="25"/>
      <c r="AZN25" s="25"/>
      <c r="AZO25" s="25"/>
      <c r="AZP25" s="25"/>
      <c r="AZQ25" s="25"/>
      <c r="AZR25" s="25"/>
      <c r="AZS25" s="25"/>
      <c r="AZT25" s="25"/>
      <c r="AZU25" s="25"/>
      <c r="AZV25" s="25"/>
      <c r="AZW25" s="25"/>
      <c r="AZX25" s="25"/>
      <c r="AZY25" s="25"/>
      <c r="AZZ25" s="25"/>
      <c r="BAA25" s="25"/>
      <c r="BAB25" s="25"/>
      <c r="BAC25" s="25"/>
      <c r="BAD25" s="25"/>
      <c r="BAE25" s="25"/>
      <c r="BAF25" s="25"/>
      <c r="BAG25" s="25"/>
      <c r="BAH25" s="25"/>
      <c r="BAI25" s="25"/>
      <c r="BAJ25" s="25"/>
      <c r="BAK25" s="25"/>
      <c r="BAL25" s="25"/>
      <c r="BAM25" s="25"/>
      <c r="BAN25" s="25"/>
      <c r="BAO25" s="25"/>
      <c r="BAP25" s="25"/>
      <c r="BAQ25" s="25"/>
      <c r="BAR25" s="25"/>
      <c r="BAS25" s="25"/>
      <c r="BAT25" s="25"/>
      <c r="BAU25" s="25"/>
      <c r="BAV25" s="25"/>
      <c r="BAW25" s="25"/>
      <c r="BAX25" s="25"/>
      <c r="BAY25" s="25"/>
      <c r="BAZ25" s="25"/>
      <c r="BBA25" s="25"/>
      <c r="BBB25" s="25"/>
      <c r="BBC25" s="25"/>
      <c r="BBD25" s="25"/>
      <c r="BBE25" s="25"/>
      <c r="BBF25" s="25"/>
      <c r="BBG25" s="25"/>
      <c r="BBH25" s="25"/>
      <c r="BBI25" s="25"/>
      <c r="BBJ25" s="25"/>
      <c r="BBK25" s="25"/>
      <c r="BBL25" s="25"/>
      <c r="BBM25" s="25"/>
      <c r="BBN25" s="25"/>
      <c r="BBO25" s="25"/>
      <c r="BBP25" s="25"/>
      <c r="BBQ25" s="25"/>
      <c r="BBR25" s="25"/>
      <c r="BBS25" s="25"/>
      <c r="BBT25" s="25"/>
      <c r="BBU25" s="25"/>
      <c r="BBV25" s="25"/>
      <c r="BBW25" s="25"/>
      <c r="BBX25" s="25"/>
      <c r="BBY25" s="25"/>
      <c r="BBZ25" s="25"/>
      <c r="BCA25" s="25"/>
      <c r="BCB25" s="25"/>
      <c r="BCC25" s="25"/>
      <c r="BCD25" s="25"/>
      <c r="BCE25" s="25"/>
      <c r="BCF25" s="25"/>
      <c r="BCG25" s="25"/>
      <c r="BCH25" s="25"/>
      <c r="BCI25" s="25"/>
      <c r="BCJ25" s="25"/>
      <c r="BCK25" s="25"/>
      <c r="BCL25" s="25"/>
      <c r="BCM25" s="25"/>
      <c r="BCN25" s="25"/>
      <c r="BCO25" s="25"/>
      <c r="BCP25" s="25"/>
      <c r="BCQ25" s="25"/>
      <c r="BCR25" s="25"/>
      <c r="BCS25" s="25"/>
      <c r="BCT25" s="25"/>
      <c r="BCU25" s="25"/>
      <c r="BCV25" s="25"/>
      <c r="BCW25" s="25"/>
      <c r="BCX25" s="25"/>
      <c r="BCY25" s="25"/>
      <c r="BCZ25" s="25"/>
      <c r="BDA25" s="25"/>
      <c r="BDB25" s="25"/>
      <c r="BDC25" s="25"/>
      <c r="BDD25" s="25"/>
      <c r="BDE25" s="25"/>
      <c r="BDF25" s="25"/>
      <c r="BDG25" s="25"/>
      <c r="BDH25" s="25"/>
      <c r="BDI25" s="25"/>
      <c r="BDJ25" s="25"/>
      <c r="BDK25" s="25"/>
      <c r="BDL25" s="25"/>
      <c r="BDM25" s="25"/>
      <c r="BDN25" s="25"/>
      <c r="BDO25" s="25"/>
      <c r="BDP25" s="25"/>
      <c r="BDQ25" s="25"/>
      <c r="BDR25" s="25"/>
      <c r="BDS25" s="25"/>
      <c r="BDT25" s="25"/>
      <c r="BDU25" s="25"/>
      <c r="BDV25" s="25"/>
      <c r="BDW25" s="25"/>
      <c r="BDX25" s="25"/>
      <c r="BDY25" s="25"/>
      <c r="BDZ25" s="25"/>
      <c r="BEA25" s="25"/>
      <c r="BEB25" s="25"/>
      <c r="BEC25" s="25"/>
      <c r="BED25" s="25"/>
      <c r="BEE25" s="25"/>
      <c r="BEF25" s="25"/>
      <c r="BEG25" s="25"/>
      <c r="BEH25" s="25"/>
      <c r="BEI25" s="25"/>
      <c r="BEJ25" s="25"/>
      <c r="BEK25" s="25"/>
      <c r="BEL25" s="25"/>
      <c r="BEM25" s="25"/>
      <c r="BEN25" s="25"/>
      <c r="BEO25" s="25"/>
      <c r="BEP25" s="25"/>
      <c r="BEQ25" s="25"/>
      <c r="BER25" s="25"/>
      <c r="BES25" s="25"/>
      <c r="BET25" s="25"/>
      <c r="BEU25" s="25"/>
      <c r="BEV25" s="25"/>
      <c r="BEW25" s="25"/>
      <c r="BEX25" s="25"/>
      <c r="BEY25" s="25"/>
      <c r="BEZ25" s="25"/>
      <c r="BFA25" s="25"/>
      <c r="BFB25" s="25"/>
      <c r="BFC25" s="25"/>
      <c r="BFD25" s="25"/>
      <c r="BFE25" s="25"/>
      <c r="BFF25" s="25"/>
      <c r="BFG25" s="25"/>
      <c r="BFH25" s="25"/>
      <c r="BFI25" s="25"/>
      <c r="BFJ25" s="25"/>
      <c r="BFK25" s="25"/>
      <c r="BFL25" s="25"/>
      <c r="BFM25" s="25"/>
      <c r="BFN25" s="25"/>
      <c r="BFO25" s="25"/>
      <c r="BFP25" s="25"/>
      <c r="BFQ25" s="25"/>
      <c r="BFR25" s="25"/>
      <c r="BFS25" s="25"/>
      <c r="BFT25" s="25"/>
      <c r="BFU25" s="25"/>
      <c r="BFV25" s="25"/>
      <c r="BFW25" s="25"/>
      <c r="BFX25" s="25"/>
      <c r="BFY25" s="25"/>
      <c r="BFZ25" s="25"/>
      <c r="BGA25" s="25"/>
      <c r="BGB25" s="25"/>
      <c r="BGC25" s="25"/>
      <c r="BGD25" s="25"/>
      <c r="BGE25" s="25"/>
      <c r="BGF25" s="25"/>
      <c r="BGG25" s="25"/>
      <c r="BGH25" s="25"/>
      <c r="BGI25" s="25"/>
      <c r="BGJ25" s="25"/>
      <c r="BGK25" s="25"/>
      <c r="BGL25" s="25"/>
      <c r="BGM25" s="25"/>
      <c r="BGN25" s="25"/>
      <c r="BGO25" s="25"/>
      <c r="BGP25" s="25"/>
      <c r="BGQ25" s="25"/>
      <c r="BGR25" s="25"/>
      <c r="BGS25" s="25"/>
      <c r="BGT25" s="25"/>
      <c r="BGU25" s="25"/>
      <c r="BGV25" s="25"/>
      <c r="BGW25" s="25"/>
      <c r="BGX25" s="25"/>
      <c r="BGY25" s="25"/>
      <c r="BGZ25" s="25"/>
      <c r="BHA25" s="25"/>
      <c r="BHB25" s="25"/>
      <c r="BHC25" s="25"/>
      <c r="BHD25" s="25"/>
      <c r="BHE25" s="25"/>
      <c r="BHF25" s="25"/>
      <c r="BHG25" s="25"/>
      <c r="BHH25" s="25"/>
      <c r="BHI25" s="25"/>
      <c r="BHJ25" s="25"/>
      <c r="BHK25" s="25"/>
      <c r="BHL25" s="25"/>
      <c r="BHM25" s="25"/>
      <c r="BHN25" s="25"/>
      <c r="BHO25" s="25"/>
      <c r="BHP25" s="25"/>
      <c r="BHQ25" s="25"/>
      <c r="BHR25" s="25"/>
      <c r="BHS25" s="25"/>
      <c r="BHT25" s="25"/>
      <c r="BHU25" s="25"/>
      <c r="BHV25" s="25"/>
      <c r="BHW25" s="25"/>
      <c r="BHX25" s="25"/>
      <c r="BHY25" s="25"/>
      <c r="BHZ25" s="25"/>
      <c r="BIA25" s="25"/>
      <c r="BIB25" s="25"/>
      <c r="BIC25" s="25"/>
      <c r="BID25" s="25"/>
      <c r="BIE25" s="25"/>
      <c r="BIF25" s="25"/>
      <c r="BIG25" s="25"/>
      <c r="BIH25" s="25"/>
      <c r="BII25" s="25"/>
      <c r="BIJ25" s="25"/>
      <c r="BIK25" s="25"/>
      <c r="BIL25" s="25"/>
      <c r="BIM25" s="25"/>
      <c r="BIN25" s="25"/>
      <c r="BIO25" s="25"/>
      <c r="BIP25" s="25"/>
      <c r="BIQ25" s="25"/>
      <c r="BIR25" s="25"/>
      <c r="BIS25" s="25"/>
      <c r="BIT25" s="25"/>
      <c r="BIU25" s="25"/>
      <c r="BIV25" s="25"/>
      <c r="BIW25" s="25"/>
      <c r="BIX25" s="25"/>
      <c r="BIY25" s="25"/>
      <c r="BIZ25" s="25"/>
      <c r="BJA25" s="25"/>
      <c r="BJB25" s="25"/>
      <c r="BJC25" s="25"/>
      <c r="BJD25" s="25"/>
      <c r="BJE25" s="25"/>
      <c r="BJF25" s="25"/>
      <c r="BJG25" s="25"/>
      <c r="BJH25" s="25"/>
      <c r="BJI25" s="25"/>
      <c r="BJJ25" s="25"/>
      <c r="BJK25" s="25"/>
      <c r="BJL25" s="25"/>
      <c r="BJM25" s="25"/>
      <c r="BJN25" s="25"/>
      <c r="BJO25" s="25"/>
      <c r="BJP25" s="25"/>
      <c r="BJQ25" s="25"/>
      <c r="BJR25" s="25"/>
      <c r="BJS25" s="25"/>
      <c r="BJT25" s="25"/>
      <c r="BJU25" s="25"/>
      <c r="BJV25" s="25"/>
      <c r="BJW25" s="25"/>
      <c r="BJX25" s="25"/>
      <c r="BJY25" s="25"/>
      <c r="BJZ25" s="25"/>
      <c r="BKA25" s="25"/>
      <c r="BKB25" s="25"/>
      <c r="BKC25" s="25"/>
      <c r="BKD25" s="25"/>
      <c r="BKE25" s="25"/>
      <c r="BKF25" s="25"/>
      <c r="BKG25" s="25"/>
      <c r="BKH25" s="25"/>
      <c r="BKI25" s="25"/>
      <c r="BKJ25" s="25"/>
      <c r="BKK25" s="25"/>
      <c r="BKL25" s="25"/>
      <c r="BKM25" s="25"/>
      <c r="BKN25" s="25"/>
      <c r="BKO25" s="25"/>
      <c r="BKP25" s="25"/>
      <c r="BKQ25" s="25"/>
      <c r="BKR25" s="25"/>
      <c r="BKS25" s="25"/>
      <c r="BKT25" s="25"/>
      <c r="BKU25" s="25"/>
      <c r="BKV25" s="25"/>
      <c r="BKW25" s="25"/>
      <c r="BKX25" s="25"/>
      <c r="BKY25" s="25"/>
      <c r="BKZ25" s="25"/>
      <c r="BLA25" s="25"/>
      <c r="BLB25" s="25"/>
      <c r="BLC25" s="25"/>
      <c r="BLD25" s="25"/>
      <c r="BLE25" s="25"/>
      <c r="BLF25" s="25"/>
      <c r="BLG25" s="25"/>
      <c r="BLH25" s="25"/>
      <c r="BLI25" s="25"/>
      <c r="BLJ25" s="25"/>
      <c r="BLK25" s="25"/>
      <c r="BLL25" s="25"/>
      <c r="BLM25" s="25"/>
      <c r="BLN25" s="25"/>
      <c r="BLO25" s="25"/>
      <c r="BLP25" s="25"/>
      <c r="BLQ25" s="25"/>
      <c r="BLR25" s="25"/>
      <c r="BLS25" s="25"/>
      <c r="BLT25" s="25"/>
      <c r="BLU25" s="25"/>
      <c r="BLV25" s="25"/>
      <c r="BLW25" s="25"/>
      <c r="BLX25" s="25"/>
      <c r="BLY25" s="25"/>
      <c r="BLZ25" s="25"/>
      <c r="BMA25" s="25"/>
      <c r="BMB25" s="25"/>
      <c r="BMC25" s="25"/>
      <c r="BMD25" s="25"/>
      <c r="BME25" s="25"/>
      <c r="BMF25" s="25"/>
      <c r="BMG25" s="25"/>
      <c r="BMH25" s="25"/>
      <c r="BMI25" s="25"/>
      <c r="BMJ25" s="25"/>
      <c r="BMK25" s="25"/>
      <c r="BML25" s="25"/>
      <c r="BMM25" s="25"/>
      <c r="BMN25" s="25"/>
      <c r="BMO25" s="25"/>
      <c r="BMP25" s="25"/>
      <c r="BMQ25" s="25"/>
      <c r="BMR25" s="25"/>
      <c r="BMS25" s="25"/>
      <c r="BMT25" s="25"/>
      <c r="BMU25" s="25"/>
      <c r="BMV25" s="25"/>
      <c r="BMW25" s="25"/>
      <c r="BMX25" s="25"/>
      <c r="BMY25" s="25"/>
      <c r="BMZ25" s="25"/>
      <c r="BNA25" s="25"/>
      <c r="BNB25" s="25"/>
      <c r="BNC25" s="25"/>
      <c r="BND25" s="25"/>
      <c r="BNE25" s="25"/>
      <c r="BNF25" s="25"/>
      <c r="BNG25" s="25"/>
      <c r="BNH25" s="25"/>
      <c r="BNI25" s="25"/>
      <c r="BNJ25" s="25"/>
      <c r="BNK25" s="25"/>
      <c r="BNL25" s="25"/>
      <c r="BNM25" s="25"/>
      <c r="BNN25" s="25"/>
      <c r="BNO25" s="25"/>
      <c r="BNP25" s="25"/>
      <c r="BNQ25" s="25"/>
      <c r="BNR25" s="25"/>
      <c r="BNS25" s="25"/>
      <c r="BNT25" s="25"/>
      <c r="BNU25" s="25"/>
      <c r="BNV25" s="25"/>
      <c r="BNW25" s="25"/>
      <c r="BNX25" s="25"/>
      <c r="BNY25" s="25"/>
      <c r="BNZ25" s="25"/>
      <c r="BOA25" s="25"/>
      <c r="BOB25" s="25"/>
      <c r="BOC25" s="25"/>
      <c r="BOD25" s="25"/>
      <c r="BOE25" s="25"/>
      <c r="BOF25" s="25"/>
      <c r="BOG25" s="25"/>
      <c r="BOH25" s="25"/>
      <c r="BOI25" s="25"/>
      <c r="BOJ25" s="25"/>
      <c r="BOK25" s="25"/>
      <c r="BOL25" s="25"/>
      <c r="BOM25" s="25"/>
      <c r="BON25" s="25"/>
    </row>
    <row r="26" s="2" customFormat="1" ht="18" customHeight="1" spans="1:1756">
      <c r="A26" s="13">
        <f t="shared" si="19"/>
        <v>43824</v>
      </c>
      <c r="B26" s="11">
        <v>95</v>
      </c>
      <c r="C26" s="10">
        <v>850</v>
      </c>
      <c r="D26" s="10">
        <v>1100</v>
      </c>
      <c r="E26" s="11">
        <v>38</v>
      </c>
      <c r="F26" s="10">
        <v>900</v>
      </c>
      <c r="G26" s="10">
        <v>1150</v>
      </c>
      <c r="H26" s="10">
        <v>18</v>
      </c>
      <c r="I26" s="10">
        <v>900</v>
      </c>
      <c r="J26" s="10">
        <v>1050</v>
      </c>
      <c r="K26" s="10">
        <v>11</v>
      </c>
      <c r="L26" s="10">
        <v>1000</v>
      </c>
      <c r="M26" s="10">
        <v>1070</v>
      </c>
      <c r="N26" s="10">
        <v>5</v>
      </c>
      <c r="O26" s="10">
        <v>800</v>
      </c>
      <c r="P26" s="10">
        <v>900</v>
      </c>
      <c r="Q26" s="10">
        <v>167</v>
      </c>
      <c r="R26" s="11"/>
      <c r="S26" s="11"/>
      <c r="T26" s="10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5"/>
      <c r="EY26" s="25"/>
      <c r="EZ26" s="25"/>
      <c r="FA26" s="25"/>
      <c r="FB26" s="25"/>
      <c r="FC26" s="25"/>
      <c r="FD26" s="25"/>
      <c r="FE26" s="25"/>
      <c r="FF26" s="25"/>
      <c r="FG26" s="25"/>
      <c r="FH26" s="25"/>
      <c r="FI26" s="25"/>
      <c r="FJ26" s="25"/>
      <c r="FK26" s="25"/>
      <c r="FL26" s="25"/>
      <c r="FM26" s="25"/>
      <c r="FN26" s="25"/>
      <c r="FO26" s="25"/>
      <c r="FP26" s="25"/>
      <c r="FQ26" s="25"/>
      <c r="FR26" s="25"/>
      <c r="FS26" s="25"/>
      <c r="FT26" s="25"/>
      <c r="FU26" s="25"/>
      <c r="FV26" s="25"/>
      <c r="FW26" s="25"/>
      <c r="FX26" s="25"/>
      <c r="FY26" s="25"/>
      <c r="FZ26" s="25"/>
      <c r="GA26" s="25"/>
      <c r="GB26" s="25"/>
      <c r="GC26" s="25"/>
      <c r="GD26" s="25"/>
      <c r="GE26" s="25"/>
      <c r="GF26" s="25"/>
      <c r="GG26" s="25"/>
      <c r="GH26" s="25"/>
      <c r="GI26" s="25"/>
      <c r="GJ26" s="25"/>
      <c r="GK26" s="25"/>
      <c r="GL26" s="25"/>
      <c r="GM26" s="25"/>
      <c r="GN26" s="25"/>
      <c r="GO26" s="25"/>
      <c r="GP26" s="25"/>
      <c r="GQ26" s="25"/>
      <c r="GR26" s="25"/>
      <c r="GS26" s="25"/>
      <c r="GT26" s="25"/>
      <c r="GU26" s="25"/>
      <c r="GV26" s="25"/>
      <c r="GW26" s="25"/>
      <c r="GX26" s="25"/>
      <c r="GY26" s="25"/>
      <c r="GZ26" s="25"/>
      <c r="HA26" s="25"/>
      <c r="HB26" s="25"/>
      <c r="HC26" s="25"/>
      <c r="HD26" s="25"/>
      <c r="HE26" s="25"/>
      <c r="HF26" s="25"/>
      <c r="HG26" s="25"/>
      <c r="HH26" s="25"/>
      <c r="HI26" s="25"/>
      <c r="HJ26" s="25"/>
      <c r="HK26" s="25"/>
      <c r="HL26" s="25"/>
      <c r="HM26" s="25"/>
      <c r="HN26" s="25"/>
      <c r="HO26" s="25"/>
      <c r="HP26" s="25"/>
      <c r="HQ26" s="25"/>
      <c r="HR26" s="25"/>
      <c r="HS26" s="25"/>
      <c r="HT26" s="25"/>
      <c r="HU26" s="25"/>
      <c r="HV26" s="25"/>
      <c r="HW26" s="25"/>
      <c r="HX26" s="25"/>
      <c r="HY26" s="25"/>
      <c r="HZ26" s="25"/>
      <c r="IA26" s="25"/>
      <c r="IB26" s="25"/>
      <c r="IC26" s="25"/>
      <c r="ID26" s="25"/>
      <c r="IE26" s="25"/>
      <c r="IF26" s="25"/>
      <c r="IG26" s="25"/>
      <c r="IH26" s="25"/>
      <c r="II26" s="25"/>
      <c r="IJ26" s="25"/>
      <c r="IK26" s="25"/>
      <c r="IL26" s="25"/>
      <c r="IM26" s="25"/>
      <c r="IN26" s="25"/>
      <c r="IO26" s="25"/>
      <c r="IP26" s="25"/>
      <c r="IQ26" s="25"/>
      <c r="IR26" s="25"/>
      <c r="IS26" s="25"/>
      <c r="IT26" s="25"/>
      <c r="IU26" s="25"/>
      <c r="IV26" s="25"/>
      <c r="IW26" s="25"/>
      <c r="IX26" s="25"/>
      <c r="IY26" s="25"/>
      <c r="IZ26" s="25"/>
      <c r="JA26" s="25"/>
      <c r="JB26" s="25"/>
      <c r="JC26" s="25"/>
      <c r="JD26" s="25"/>
      <c r="JE26" s="25"/>
      <c r="JF26" s="25"/>
      <c r="JG26" s="25"/>
      <c r="JH26" s="25"/>
      <c r="JI26" s="25"/>
      <c r="JJ26" s="25"/>
      <c r="JK26" s="25"/>
      <c r="JL26" s="25"/>
      <c r="JM26" s="25"/>
      <c r="JN26" s="25"/>
      <c r="JO26" s="25"/>
      <c r="JP26" s="25"/>
      <c r="JQ26" s="25"/>
      <c r="JR26" s="25"/>
      <c r="JS26" s="25"/>
      <c r="JT26" s="25"/>
      <c r="JU26" s="25"/>
      <c r="JV26" s="25"/>
      <c r="JW26" s="25"/>
      <c r="JX26" s="25"/>
      <c r="JY26" s="25"/>
      <c r="JZ26" s="25"/>
      <c r="KA26" s="25"/>
      <c r="KB26" s="25"/>
      <c r="KC26" s="25"/>
      <c r="KD26" s="25"/>
      <c r="KE26" s="25"/>
      <c r="KF26" s="25"/>
      <c r="KG26" s="25"/>
      <c r="KH26" s="25"/>
      <c r="KI26" s="25"/>
      <c r="KJ26" s="25"/>
      <c r="KK26" s="25"/>
      <c r="KL26" s="25"/>
      <c r="KM26" s="25"/>
      <c r="KN26" s="25"/>
      <c r="KO26" s="25"/>
      <c r="KP26" s="25"/>
      <c r="KQ26" s="25"/>
      <c r="KR26" s="25"/>
      <c r="KS26" s="25"/>
      <c r="KT26" s="25"/>
      <c r="KU26" s="25"/>
      <c r="KV26" s="25"/>
      <c r="KW26" s="25"/>
      <c r="KX26" s="25"/>
      <c r="KY26" s="25"/>
      <c r="KZ26" s="25"/>
      <c r="LA26" s="25"/>
      <c r="LB26" s="25"/>
      <c r="LC26" s="25"/>
      <c r="LD26" s="25"/>
      <c r="LE26" s="25"/>
      <c r="LF26" s="25"/>
      <c r="LG26" s="25"/>
      <c r="LH26" s="25"/>
      <c r="LI26" s="25"/>
      <c r="LJ26" s="25"/>
      <c r="LK26" s="25"/>
      <c r="LL26" s="25"/>
      <c r="LM26" s="25"/>
      <c r="LN26" s="25"/>
      <c r="LO26" s="25"/>
      <c r="LP26" s="25"/>
      <c r="LQ26" s="25"/>
      <c r="LR26" s="25"/>
      <c r="LS26" s="25"/>
      <c r="LT26" s="25"/>
      <c r="LU26" s="25"/>
      <c r="LV26" s="25"/>
      <c r="LW26" s="25"/>
      <c r="LX26" s="25"/>
      <c r="LY26" s="25"/>
      <c r="LZ26" s="25"/>
      <c r="MA26" s="25"/>
      <c r="MB26" s="25"/>
      <c r="MC26" s="25"/>
      <c r="MD26" s="25"/>
      <c r="ME26" s="25"/>
      <c r="MF26" s="25"/>
      <c r="MG26" s="25"/>
      <c r="MH26" s="25"/>
      <c r="MI26" s="25"/>
      <c r="MJ26" s="25"/>
      <c r="MK26" s="25"/>
      <c r="ML26" s="25"/>
      <c r="MM26" s="25"/>
      <c r="MN26" s="25"/>
      <c r="MO26" s="25"/>
      <c r="MP26" s="25"/>
      <c r="MQ26" s="25"/>
      <c r="MR26" s="25"/>
      <c r="MS26" s="25"/>
      <c r="MT26" s="25"/>
      <c r="MU26" s="25"/>
      <c r="MV26" s="25"/>
      <c r="MW26" s="25"/>
      <c r="MX26" s="25"/>
      <c r="MY26" s="25"/>
      <c r="MZ26" s="25"/>
      <c r="NA26" s="25"/>
      <c r="NB26" s="25"/>
      <c r="NC26" s="25"/>
      <c r="ND26" s="25"/>
      <c r="NE26" s="25"/>
      <c r="NF26" s="25"/>
      <c r="NG26" s="25"/>
      <c r="NH26" s="25"/>
      <c r="NI26" s="25"/>
      <c r="NJ26" s="25"/>
      <c r="NK26" s="25"/>
      <c r="NL26" s="25"/>
      <c r="NM26" s="25"/>
      <c r="NN26" s="25"/>
      <c r="NO26" s="25"/>
      <c r="NP26" s="25"/>
      <c r="NQ26" s="25"/>
      <c r="NR26" s="25"/>
      <c r="NS26" s="25"/>
      <c r="NT26" s="25"/>
      <c r="NU26" s="25"/>
      <c r="NV26" s="25"/>
      <c r="NW26" s="25"/>
      <c r="NX26" s="25"/>
      <c r="NY26" s="25"/>
      <c r="NZ26" s="25"/>
      <c r="OA26" s="25"/>
      <c r="OB26" s="25"/>
      <c r="OC26" s="25"/>
      <c r="OD26" s="25"/>
      <c r="OE26" s="25"/>
      <c r="OF26" s="25"/>
      <c r="OG26" s="25"/>
      <c r="OH26" s="25"/>
      <c r="OI26" s="25"/>
      <c r="OJ26" s="25"/>
      <c r="OK26" s="25"/>
      <c r="OL26" s="25"/>
      <c r="OM26" s="25"/>
      <c r="ON26" s="25"/>
      <c r="OO26" s="25"/>
      <c r="OP26" s="25"/>
      <c r="OQ26" s="25"/>
      <c r="OR26" s="25"/>
      <c r="OS26" s="25"/>
      <c r="OT26" s="25"/>
      <c r="OU26" s="25"/>
      <c r="OV26" s="25"/>
      <c r="OW26" s="25"/>
      <c r="OX26" s="25"/>
      <c r="OY26" s="25"/>
      <c r="OZ26" s="25"/>
      <c r="PA26" s="25"/>
      <c r="PB26" s="25"/>
      <c r="PC26" s="25"/>
      <c r="PD26" s="25"/>
      <c r="PE26" s="25"/>
      <c r="PF26" s="25"/>
      <c r="PG26" s="25"/>
      <c r="PH26" s="25"/>
      <c r="PI26" s="25"/>
      <c r="PJ26" s="25"/>
      <c r="PK26" s="25"/>
      <c r="PL26" s="25"/>
      <c r="PM26" s="25"/>
      <c r="PN26" s="25"/>
      <c r="PO26" s="25"/>
      <c r="PP26" s="25"/>
      <c r="PQ26" s="25"/>
      <c r="PR26" s="25"/>
      <c r="PS26" s="25"/>
      <c r="PT26" s="25"/>
      <c r="PU26" s="25"/>
      <c r="PV26" s="25"/>
      <c r="PW26" s="25"/>
      <c r="PX26" s="25"/>
      <c r="PY26" s="25"/>
      <c r="PZ26" s="25"/>
      <c r="QA26" s="25"/>
      <c r="QB26" s="25"/>
      <c r="QC26" s="25"/>
      <c r="QD26" s="25"/>
      <c r="QE26" s="25"/>
      <c r="QF26" s="25"/>
      <c r="QG26" s="25"/>
      <c r="QH26" s="25"/>
      <c r="QI26" s="25"/>
      <c r="QJ26" s="25"/>
      <c r="QK26" s="25"/>
      <c r="QL26" s="25"/>
      <c r="QM26" s="25"/>
      <c r="QN26" s="25"/>
      <c r="QO26" s="25"/>
      <c r="QP26" s="25"/>
      <c r="QQ26" s="25"/>
      <c r="QR26" s="25"/>
      <c r="QS26" s="25"/>
      <c r="QT26" s="25"/>
      <c r="QU26" s="25"/>
      <c r="QV26" s="25"/>
      <c r="QW26" s="25"/>
      <c r="QX26" s="25"/>
      <c r="QY26" s="25"/>
      <c r="QZ26" s="25"/>
      <c r="RA26" s="25"/>
      <c r="RB26" s="25"/>
      <c r="RC26" s="25"/>
      <c r="RD26" s="25"/>
      <c r="RE26" s="25"/>
      <c r="RF26" s="25"/>
      <c r="RG26" s="25"/>
      <c r="RH26" s="25"/>
      <c r="RI26" s="25"/>
      <c r="RJ26" s="25"/>
      <c r="RK26" s="25"/>
      <c r="RL26" s="25"/>
      <c r="RM26" s="25"/>
      <c r="RN26" s="25"/>
      <c r="RO26" s="25"/>
      <c r="RP26" s="25"/>
      <c r="RQ26" s="25"/>
      <c r="RR26" s="25"/>
      <c r="RS26" s="25"/>
      <c r="RT26" s="25"/>
      <c r="RU26" s="25"/>
      <c r="RV26" s="25"/>
      <c r="RW26" s="25"/>
      <c r="RX26" s="25"/>
      <c r="RY26" s="25"/>
      <c r="RZ26" s="25"/>
      <c r="SA26" s="25"/>
      <c r="SB26" s="25"/>
      <c r="SC26" s="25"/>
      <c r="SD26" s="25"/>
      <c r="SE26" s="25"/>
      <c r="SF26" s="25"/>
      <c r="SG26" s="25"/>
      <c r="SH26" s="25"/>
      <c r="SI26" s="25"/>
      <c r="SJ26" s="25"/>
      <c r="SK26" s="25"/>
      <c r="SL26" s="25"/>
      <c r="SM26" s="25"/>
      <c r="SN26" s="25"/>
      <c r="SO26" s="25"/>
      <c r="SP26" s="25"/>
      <c r="SQ26" s="25"/>
      <c r="SR26" s="25"/>
      <c r="SS26" s="25"/>
      <c r="ST26" s="25"/>
      <c r="SU26" s="25"/>
      <c r="SV26" s="25"/>
      <c r="SW26" s="25"/>
      <c r="SX26" s="25"/>
      <c r="SY26" s="25"/>
      <c r="SZ26" s="25"/>
      <c r="TA26" s="25"/>
      <c r="TB26" s="25"/>
      <c r="TC26" s="25"/>
      <c r="TD26" s="25"/>
      <c r="TE26" s="25"/>
      <c r="TF26" s="25"/>
      <c r="TG26" s="25"/>
      <c r="TH26" s="25"/>
      <c r="TI26" s="25"/>
      <c r="TJ26" s="25"/>
      <c r="TK26" s="25"/>
      <c r="TL26" s="25"/>
      <c r="TM26" s="25"/>
      <c r="TN26" s="25"/>
      <c r="TO26" s="25"/>
      <c r="TP26" s="25"/>
      <c r="TQ26" s="25"/>
      <c r="TR26" s="25"/>
      <c r="TS26" s="25"/>
      <c r="TT26" s="25"/>
      <c r="TU26" s="25"/>
      <c r="TV26" s="25"/>
      <c r="TW26" s="25"/>
      <c r="TX26" s="25"/>
      <c r="TY26" s="25"/>
      <c r="TZ26" s="25"/>
      <c r="UA26" s="25"/>
      <c r="UB26" s="25"/>
      <c r="UC26" s="25"/>
      <c r="UD26" s="25"/>
      <c r="UE26" s="25"/>
      <c r="UF26" s="25"/>
      <c r="UG26" s="25"/>
      <c r="UH26" s="25"/>
      <c r="UI26" s="25"/>
      <c r="UJ26" s="25"/>
      <c r="UK26" s="25"/>
      <c r="UL26" s="25"/>
      <c r="UM26" s="25"/>
      <c r="UN26" s="25"/>
      <c r="UO26" s="25"/>
      <c r="UP26" s="25"/>
      <c r="UQ26" s="25"/>
      <c r="UR26" s="25"/>
      <c r="US26" s="25"/>
      <c r="UT26" s="25"/>
      <c r="UU26" s="25"/>
      <c r="UV26" s="25"/>
      <c r="UW26" s="25"/>
      <c r="UX26" s="25"/>
      <c r="UY26" s="25"/>
      <c r="UZ26" s="25"/>
      <c r="VA26" s="25"/>
      <c r="VB26" s="25"/>
      <c r="VC26" s="25"/>
      <c r="VD26" s="25"/>
      <c r="VE26" s="25"/>
      <c r="VF26" s="25"/>
      <c r="VG26" s="25"/>
      <c r="VH26" s="25"/>
      <c r="VI26" s="25"/>
      <c r="VJ26" s="25"/>
      <c r="VK26" s="25"/>
      <c r="VL26" s="25"/>
      <c r="VM26" s="25"/>
      <c r="VN26" s="25"/>
      <c r="VO26" s="25"/>
      <c r="VP26" s="25"/>
      <c r="VQ26" s="25"/>
      <c r="VR26" s="25"/>
      <c r="VS26" s="25"/>
      <c r="VT26" s="25"/>
      <c r="VU26" s="25"/>
      <c r="VV26" s="25"/>
      <c r="VW26" s="25"/>
      <c r="VX26" s="25"/>
      <c r="VY26" s="25"/>
      <c r="VZ26" s="25"/>
      <c r="WA26" s="25"/>
      <c r="WB26" s="25"/>
      <c r="WC26" s="25"/>
      <c r="WD26" s="25"/>
      <c r="WE26" s="25"/>
      <c r="WF26" s="25"/>
      <c r="WG26" s="25"/>
      <c r="WH26" s="25"/>
      <c r="WI26" s="25"/>
      <c r="WJ26" s="25"/>
      <c r="WK26" s="25"/>
      <c r="WL26" s="25"/>
      <c r="WM26" s="25"/>
      <c r="WN26" s="25"/>
      <c r="WO26" s="25"/>
      <c r="WP26" s="25"/>
      <c r="WQ26" s="25"/>
      <c r="WR26" s="25"/>
      <c r="WS26" s="25"/>
      <c r="WT26" s="25"/>
      <c r="WU26" s="25"/>
      <c r="WV26" s="25"/>
      <c r="WW26" s="25"/>
      <c r="WX26" s="25"/>
      <c r="WY26" s="25"/>
      <c r="WZ26" s="25"/>
      <c r="XA26" s="25"/>
      <c r="XB26" s="25"/>
      <c r="XC26" s="25"/>
      <c r="XD26" s="25"/>
      <c r="XE26" s="25"/>
      <c r="XF26" s="25"/>
      <c r="XG26" s="25"/>
      <c r="XH26" s="25"/>
      <c r="XI26" s="25"/>
      <c r="XJ26" s="25"/>
      <c r="XK26" s="25"/>
      <c r="XL26" s="25"/>
      <c r="XM26" s="25"/>
      <c r="XN26" s="25"/>
      <c r="XO26" s="25"/>
      <c r="XP26" s="25"/>
      <c r="XQ26" s="25"/>
      <c r="XR26" s="25"/>
      <c r="XS26" s="25"/>
      <c r="XT26" s="25"/>
      <c r="XU26" s="25"/>
      <c r="XV26" s="25"/>
      <c r="XW26" s="25"/>
      <c r="XX26" s="25"/>
      <c r="XY26" s="25"/>
      <c r="XZ26" s="25"/>
      <c r="YA26" s="25"/>
      <c r="YB26" s="25"/>
      <c r="YC26" s="25"/>
      <c r="YD26" s="25"/>
      <c r="YE26" s="25"/>
      <c r="YF26" s="25"/>
      <c r="YG26" s="25"/>
      <c r="YH26" s="25"/>
      <c r="YI26" s="25"/>
      <c r="YJ26" s="25"/>
      <c r="YK26" s="25"/>
      <c r="YL26" s="25"/>
      <c r="YM26" s="25"/>
      <c r="YN26" s="25"/>
      <c r="YO26" s="25"/>
      <c r="YP26" s="25"/>
      <c r="YQ26" s="25"/>
      <c r="YR26" s="25"/>
      <c r="YS26" s="25"/>
      <c r="YT26" s="25"/>
      <c r="YU26" s="25"/>
      <c r="YV26" s="25"/>
      <c r="YW26" s="25"/>
      <c r="YX26" s="25"/>
      <c r="YY26" s="25"/>
      <c r="YZ26" s="25"/>
      <c r="ZA26" s="25"/>
      <c r="ZB26" s="25"/>
      <c r="ZC26" s="25"/>
      <c r="ZD26" s="25"/>
      <c r="ZE26" s="25"/>
      <c r="ZF26" s="25"/>
      <c r="ZG26" s="25"/>
      <c r="ZH26" s="25"/>
      <c r="ZI26" s="25"/>
      <c r="ZJ26" s="25"/>
      <c r="ZK26" s="25"/>
      <c r="ZL26" s="25"/>
      <c r="ZM26" s="25"/>
      <c r="ZN26" s="25"/>
      <c r="ZO26" s="25"/>
      <c r="ZP26" s="25"/>
      <c r="ZQ26" s="25"/>
      <c r="ZR26" s="25"/>
      <c r="ZS26" s="25"/>
      <c r="ZT26" s="25"/>
      <c r="ZU26" s="25"/>
      <c r="ZV26" s="25"/>
      <c r="ZW26" s="25"/>
      <c r="ZX26" s="25"/>
      <c r="ZY26" s="25"/>
      <c r="ZZ26" s="25"/>
      <c r="AAA26" s="25"/>
      <c r="AAB26" s="25"/>
      <c r="AAC26" s="25"/>
      <c r="AAD26" s="25"/>
      <c r="AAE26" s="25"/>
      <c r="AAF26" s="25"/>
      <c r="AAG26" s="25"/>
      <c r="AAH26" s="25"/>
      <c r="AAI26" s="25"/>
      <c r="AAJ26" s="25"/>
      <c r="AAK26" s="25"/>
      <c r="AAL26" s="25"/>
      <c r="AAM26" s="25"/>
      <c r="AAN26" s="25"/>
      <c r="AAO26" s="25"/>
      <c r="AAP26" s="25"/>
      <c r="AAQ26" s="25"/>
      <c r="AAR26" s="25"/>
      <c r="AAS26" s="25"/>
      <c r="AAT26" s="25"/>
      <c r="AAU26" s="25"/>
      <c r="AAV26" s="25"/>
      <c r="AAW26" s="25"/>
      <c r="AAX26" s="25"/>
      <c r="AAY26" s="25"/>
      <c r="AAZ26" s="25"/>
      <c r="ABA26" s="25"/>
      <c r="ABB26" s="25"/>
      <c r="ABC26" s="25"/>
      <c r="ABD26" s="25"/>
      <c r="ABE26" s="25"/>
      <c r="ABF26" s="25"/>
      <c r="ABG26" s="25"/>
      <c r="ABH26" s="25"/>
      <c r="ABI26" s="25"/>
      <c r="ABJ26" s="25"/>
      <c r="ABK26" s="25"/>
      <c r="ABL26" s="25"/>
      <c r="ABM26" s="25"/>
      <c r="ABN26" s="25"/>
      <c r="ABO26" s="25"/>
      <c r="ABP26" s="25"/>
      <c r="ABQ26" s="25"/>
      <c r="ABR26" s="25"/>
      <c r="ABS26" s="25"/>
      <c r="ABT26" s="25"/>
      <c r="ABU26" s="25"/>
      <c r="ABV26" s="25"/>
      <c r="ABW26" s="25"/>
      <c r="ABX26" s="25"/>
      <c r="ABY26" s="25"/>
      <c r="ABZ26" s="25"/>
      <c r="ACA26" s="25"/>
      <c r="ACB26" s="25"/>
      <c r="ACC26" s="25"/>
      <c r="ACD26" s="25"/>
      <c r="ACE26" s="25"/>
      <c r="ACF26" s="25"/>
      <c r="ACG26" s="25"/>
      <c r="ACH26" s="25"/>
      <c r="ACI26" s="25"/>
      <c r="ACJ26" s="25"/>
      <c r="ACK26" s="25"/>
      <c r="ACL26" s="25"/>
      <c r="ACM26" s="25"/>
      <c r="ACN26" s="25"/>
      <c r="ACO26" s="25"/>
      <c r="ACP26" s="25"/>
      <c r="ACQ26" s="25"/>
      <c r="ACR26" s="25"/>
      <c r="ACS26" s="25"/>
      <c r="ACT26" s="25"/>
      <c r="ACU26" s="25"/>
      <c r="ACV26" s="25"/>
      <c r="ACW26" s="25"/>
      <c r="ACX26" s="25"/>
      <c r="ACY26" s="25"/>
      <c r="ACZ26" s="25"/>
      <c r="ADA26" s="25"/>
      <c r="ADB26" s="25"/>
      <c r="ADC26" s="25"/>
      <c r="ADD26" s="25"/>
      <c r="ADE26" s="25"/>
      <c r="ADF26" s="25"/>
      <c r="ADG26" s="25"/>
      <c r="ADH26" s="25"/>
      <c r="ADI26" s="25"/>
      <c r="ADJ26" s="25"/>
      <c r="ADK26" s="25"/>
      <c r="ADL26" s="25"/>
      <c r="ADM26" s="25"/>
      <c r="ADN26" s="25"/>
      <c r="ADO26" s="25"/>
      <c r="ADP26" s="25"/>
      <c r="ADQ26" s="25"/>
      <c r="ADR26" s="25"/>
      <c r="ADS26" s="25"/>
      <c r="ADT26" s="25"/>
      <c r="ADU26" s="25"/>
      <c r="ADV26" s="25"/>
      <c r="ADW26" s="25"/>
      <c r="ADX26" s="25"/>
      <c r="ADY26" s="25"/>
      <c r="ADZ26" s="25"/>
      <c r="AEA26" s="25"/>
      <c r="AEB26" s="25"/>
      <c r="AEC26" s="25"/>
      <c r="AED26" s="25"/>
      <c r="AEE26" s="25"/>
      <c r="AEF26" s="25"/>
      <c r="AEG26" s="25"/>
      <c r="AEH26" s="25"/>
      <c r="AEI26" s="25"/>
      <c r="AEJ26" s="25"/>
      <c r="AEK26" s="25"/>
      <c r="AEL26" s="25"/>
      <c r="AEM26" s="25"/>
      <c r="AEN26" s="25"/>
      <c r="AEO26" s="25"/>
      <c r="AEP26" s="25"/>
      <c r="AEQ26" s="25"/>
      <c r="AER26" s="25"/>
      <c r="AES26" s="25"/>
      <c r="AET26" s="25"/>
      <c r="AEU26" s="25"/>
      <c r="AEV26" s="25"/>
      <c r="AEW26" s="25"/>
      <c r="AEX26" s="25"/>
      <c r="AEY26" s="25"/>
      <c r="AEZ26" s="25"/>
      <c r="AFA26" s="25"/>
      <c r="AFB26" s="25"/>
      <c r="AFC26" s="25"/>
      <c r="AFD26" s="25"/>
      <c r="AFE26" s="25"/>
      <c r="AFF26" s="25"/>
      <c r="AFG26" s="25"/>
      <c r="AFH26" s="25"/>
      <c r="AFI26" s="25"/>
      <c r="AFJ26" s="25"/>
      <c r="AFK26" s="25"/>
      <c r="AFL26" s="25"/>
      <c r="AFM26" s="25"/>
      <c r="AFN26" s="25"/>
      <c r="AFO26" s="25"/>
      <c r="AFP26" s="25"/>
      <c r="AFQ26" s="25"/>
      <c r="AFR26" s="25"/>
      <c r="AFS26" s="25"/>
      <c r="AFT26" s="25"/>
      <c r="AFU26" s="25"/>
      <c r="AFV26" s="25"/>
      <c r="AFW26" s="25"/>
      <c r="AFX26" s="25"/>
      <c r="AFY26" s="25"/>
      <c r="AFZ26" s="25"/>
      <c r="AGA26" s="25"/>
      <c r="AGB26" s="25"/>
      <c r="AGC26" s="25"/>
      <c r="AGD26" s="25"/>
      <c r="AGE26" s="25"/>
      <c r="AGF26" s="25"/>
      <c r="AGG26" s="25"/>
      <c r="AGH26" s="25"/>
      <c r="AGI26" s="25"/>
      <c r="AGJ26" s="25"/>
      <c r="AGK26" s="25"/>
      <c r="AGL26" s="25"/>
      <c r="AGM26" s="25"/>
      <c r="AGN26" s="25"/>
      <c r="AGO26" s="25"/>
      <c r="AGP26" s="25"/>
      <c r="AGQ26" s="25"/>
      <c r="AGR26" s="25"/>
      <c r="AGS26" s="25"/>
      <c r="AGT26" s="25"/>
      <c r="AGU26" s="25"/>
      <c r="AGV26" s="25"/>
      <c r="AGW26" s="25"/>
      <c r="AGX26" s="25"/>
      <c r="AGY26" s="25"/>
      <c r="AGZ26" s="25"/>
      <c r="AHA26" s="25"/>
      <c r="AHB26" s="25"/>
      <c r="AHC26" s="25"/>
      <c r="AHD26" s="25"/>
      <c r="AHE26" s="25"/>
      <c r="AHF26" s="25"/>
      <c r="AHG26" s="25"/>
      <c r="AHH26" s="25"/>
      <c r="AHI26" s="25"/>
      <c r="AHJ26" s="25"/>
      <c r="AHK26" s="25"/>
      <c r="AHL26" s="25"/>
      <c r="AHM26" s="25"/>
      <c r="AHN26" s="25"/>
      <c r="AHO26" s="25"/>
      <c r="AHP26" s="25"/>
      <c r="AHQ26" s="25"/>
      <c r="AHR26" s="25"/>
      <c r="AHS26" s="25"/>
      <c r="AHT26" s="25"/>
      <c r="AHU26" s="25"/>
      <c r="AHV26" s="25"/>
      <c r="AHW26" s="25"/>
      <c r="AHX26" s="25"/>
      <c r="AHY26" s="25"/>
      <c r="AHZ26" s="25"/>
      <c r="AIA26" s="25"/>
      <c r="AIB26" s="25"/>
      <c r="AIC26" s="25"/>
      <c r="AID26" s="25"/>
      <c r="AIE26" s="25"/>
      <c r="AIF26" s="25"/>
      <c r="AIG26" s="25"/>
      <c r="AIH26" s="25"/>
      <c r="AII26" s="25"/>
      <c r="AIJ26" s="25"/>
      <c r="AIK26" s="25"/>
      <c r="AIL26" s="25"/>
      <c r="AIM26" s="25"/>
      <c r="AIN26" s="25"/>
      <c r="AIO26" s="25"/>
      <c r="AIP26" s="25"/>
      <c r="AIQ26" s="25"/>
      <c r="AIR26" s="25"/>
      <c r="AIS26" s="25"/>
      <c r="AIT26" s="25"/>
      <c r="AIU26" s="25"/>
      <c r="AIV26" s="25"/>
      <c r="AIW26" s="25"/>
      <c r="AIX26" s="25"/>
      <c r="AIY26" s="25"/>
      <c r="AIZ26" s="25"/>
      <c r="AJA26" s="25"/>
      <c r="AJB26" s="25"/>
      <c r="AJC26" s="25"/>
      <c r="AJD26" s="25"/>
      <c r="AJE26" s="25"/>
      <c r="AJF26" s="25"/>
      <c r="AJG26" s="25"/>
      <c r="AJH26" s="25"/>
      <c r="AJI26" s="25"/>
      <c r="AJJ26" s="25"/>
      <c r="AJK26" s="25"/>
      <c r="AJL26" s="25"/>
      <c r="AJM26" s="25"/>
      <c r="AJN26" s="25"/>
      <c r="AJO26" s="25"/>
      <c r="AJP26" s="25"/>
      <c r="AJQ26" s="25"/>
      <c r="AJR26" s="25"/>
      <c r="AJS26" s="25"/>
      <c r="AJT26" s="25"/>
      <c r="AJU26" s="25"/>
      <c r="AJV26" s="25"/>
      <c r="AJW26" s="25"/>
      <c r="AJX26" s="25"/>
      <c r="AJY26" s="25"/>
      <c r="AJZ26" s="25"/>
      <c r="AKA26" s="25"/>
      <c r="AKB26" s="25"/>
      <c r="AKC26" s="25"/>
      <c r="AKD26" s="25"/>
      <c r="AKE26" s="25"/>
      <c r="AKF26" s="25"/>
      <c r="AKG26" s="25"/>
      <c r="AKH26" s="25"/>
      <c r="AKI26" s="25"/>
      <c r="AKJ26" s="25"/>
      <c r="AKK26" s="25"/>
      <c r="AKL26" s="25"/>
      <c r="AKM26" s="25"/>
      <c r="AKN26" s="25"/>
      <c r="AKO26" s="25"/>
      <c r="AKP26" s="25"/>
      <c r="AKQ26" s="25"/>
      <c r="AKR26" s="25"/>
      <c r="AKS26" s="25"/>
      <c r="AKT26" s="25"/>
      <c r="AKU26" s="25"/>
      <c r="AKV26" s="25"/>
      <c r="AKW26" s="25"/>
      <c r="AKX26" s="25"/>
      <c r="AKY26" s="25"/>
      <c r="AKZ26" s="25"/>
      <c r="ALA26" s="25"/>
      <c r="ALB26" s="25"/>
      <c r="ALC26" s="25"/>
      <c r="ALD26" s="25"/>
      <c r="ALE26" s="25"/>
      <c r="ALF26" s="25"/>
      <c r="ALG26" s="25"/>
      <c r="ALH26" s="25"/>
      <c r="ALI26" s="25"/>
      <c r="ALJ26" s="25"/>
      <c r="ALK26" s="25"/>
      <c r="ALL26" s="25"/>
      <c r="ALM26" s="25"/>
      <c r="ALN26" s="25"/>
      <c r="ALO26" s="25"/>
      <c r="ALP26" s="25"/>
      <c r="ALQ26" s="25"/>
      <c r="ALR26" s="25"/>
      <c r="ALS26" s="25"/>
      <c r="ALT26" s="25"/>
      <c r="ALU26" s="25"/>
      <c r="ALV26" s="25"/>
      <c r="ALW26" s="25"/>
      <c r="ALX26" s="25"/>
      <c r="ALY26" s="25"/>
      <c r="ALZ26" s="25"/>
      <c r="AMA26" s="25"/>
      <c r="AMB26" s="25"/>
      <c r="AMC26" s="25"/>
      <c r="AMD26" s="25"/>
      <c r="AME26" s="25"/>
      <c r="AMF26" s="25"/>
      <c r="AMG26" s="25"/>
      <c r="AMH26" s="25"/>
      <c r="AMI26" s="25"/>
      <c r="AMJ26" s="25"/>
      <c r="AMK26" s="25"/>
      <c r="AML26" s="25"/>
      <c r="AMM26" s="25"/>
      <c r="AMN26" s="25"/>
      <c r="AMO26" s="25"/>
      <c r="AMP26" s="25"/>
      <c r="AMQ26" s="25"/>
      <c r="AMR26" s="25"/>
      <c r="AMS26" s="25"/>
      <c r="AMT26" s="25"/>
      <c r="AMU26" s="25"/>
      <c r="AMV26" s="25"/>
      <c r="AMW26" s="25"/>
      <c r="AMX26" s="25"/>
      <c r="AMY26" s="25"/>
      <c r="AMZ26" s="25"/>
      <c r="ANA26" s="25"/>
      <c r="ANB26" s="25"/>
      <c r="ANC26" s="25"/>
      <c r="AND26" s="25"/>
      <c r="ANE26" s="25"/>
      <c r="ANF26" s="25"/>
      <c r="ANG26" s="25"/>
      <c r="ANH26" s="25"/>
      <c r="ANI26" s="25"/>
      <c r="ANJ26" s="25"/>
      <c r="ANK26" s="25"/>
      <c r="ANL26" s="25"/>
      <c r="ANM26" s="25"/>
      <c r="ANN26" s="25"/>
      <c r="ANO26" s="25"/>
      <c r="ANP26" s="25"/>
      <c r="ANQ26" s="25"/>
      <c r="ANR26" s="25"/>
      <c r="ANS26" s="25"/>
      <c r="ANT26" s="25"/>
      <c r="ANU26" s="25"/>
      <c r="ANV26" s="25"/>
      <c r="ANW26" s="25"/>
      <c r="ANX26" s="25"/>
      <c r="ANY26" s="25"/>
      <c r="ANZ26" s="25"/>
      <c r="AOA26" s="25"/>
      <c r="AOB26" s="25"/>
      <c r="AOC26" s="25"/>
      <c r="AOD26" s="25"/>
      <c r="AOE26" s="25"/>
      <c r="AOF26" s="25"/>
      <c r="AOG26" s="25"/>
      <c r="AOH26" s="25"/>
      <c r="AOI26" s="25"/>
      <c r="AOJ26" s="25"/>
      <c r="AOK26" s="25"/>
      <c r="AOL26" s="25"/>
      <c r="AOM26" s="25"/>
      <c r="AON26" s="25"/>
      <c r="AOO26" s="25"/>
      <c r="AOP26" s="25"/>
      <c r="AOQ26" s="25"/>
      <c r="AOR26" s="25"/>
      <c r="AOS26" s="25"/>
      <c r="AOT26" s="25"/>
      <c r="AOU26" s="25"/>
      <c r="AOV26" s="25"/>
      <c r="AOW26" s="25"/>
      <c r="AOX26" s="25"/>
      <c r="AOY26" s="25"/>
      <c r="AOZ26" s="25"/>
      <c r="APA26" s="25"/>
      <c r="APB26" s="25"/>
      <c r="APC26" s="25"/>
      <c r="APD26" s="25"/>
      <c r="APE26" s="25"/>
      <c r="APF26" s="25"/>
      <c r="APG26" s="25"/>
      <c r="APH26" s="25"/>
      <c r="API26" s="25"/>
      <c r="APJ26" s="25"/>
      <c r="APK26" s="25"/>
      <c r="APL26" s="25"/>
      <c r="APM26" s="25"/>
      <c r="APN26" s="25"/>
      <c r="APO26" s="25"/>
      <c r="APP26" s="25"/>
      <c r="APQ26" s="25"/>
      <c r="APR26" s="25"/>
      <c r="APS26" s="25"/>
      <c r="APT26" s="25"/>
      <c r="APU26" s="25"/>
      <c r="APV26" s="25"/>
      <c r="APW26" s="25"/>
      <c r="APX26" s="25"/>
      <c r="APY26" s="25"/>
      <c r="APZ26" s="25"/>
      <c r="AQA26" s="25"/>
      <c r="AQB26" s="25"/>
      <c r="AQC26" s="25"/>
      <c r="AQD26" s="25"/>
      <c r="AQE26" s="25"/>
      <c r="AQF26" s="25"/>
      <c r="AQG26" s="25"/>
      <c r="AQH26" s="25"/>
      <c r="AQI26" s="25"/>
      <c r="AQJ26" s="25"/>
      <c r="AQK26" s="25"/>
      <c r="AQL26" s="25"/>
      <c r="AQM26" s="25"/>
      <c r="AQN26" s="25"/>
      <c r="AQO26" s="25"/>
      <c r="AQP26" s="25"/>
      <c r="AQQ26" s="25"/>
      <c r="AQR26" s="25"/>
      <c r="AQS26" s="25"/>
      <c r="AQT26" s="25"/>
      <c r="AQU26" s="25"/>
      <c r="AQV26" s="25"/>
      <c r="AQW26" s="25"/>
      <c r="AQX26" s="25"/>
      <c r="AQY26" s="25"/>
      <c r="AQZ26" s="25"/>
      <c r="ARA26" s="25"/>
      <c r="ARB26" s="25"/>
      <c r="ARC26" s="25"/>
      <c r="ARD26" s="25"/>
      <c r="ARE26" s="25"/>
      <c r="ARF26" s="25"/>
      <c r="ARG26" s="25"/>
      <c r="ARH26" s="25"/>
      <c r="ARI26" s="25"/>
      <c r="ARJ26" s="25"/>
      <c r="ARK26" s="25"/>
      <c r="ARL26" s="25"/>
      <c r="ARM26" s="25"/>
      <c r="ARN26" s="25"/>
      <c r="ARO26" s="25"/>
      <c r="ARP26" s="25"/>
      <c r="ARQ26" s="25"/>
      <c r="ARR26" s="25"/>
      <c r="ARS26" s="25"/>
      <c r="ART26" s="25"/>
      <c r="ARU26" s="25"/>
      <c r="ARV26" s="25"/>
      <c r="ARW26" s="25"/>
      <c r="ARX26" s="25"/>
      <c r="ARY26" s="25"/>
      <c r="ARZ26" s="25"/>
      <c r="ASA26" s="25"/>
      <c r="ASB26" s="25"/>
      <c r="ASC26" s="25"/>
      <c r="ASD26" s="25"/>
      <c r="ASE26" s="25"/>
      <c r="ASF26" s="25"/>
      <c r="ASG26" s="25"/>
      <c r="ASH26" s="25"/>
      <c r="ASI26" s="25"/>
      <c r="ASJ26" s="25"/>
      <c r="ASK26" s="25"/>
      <c r="ASL26" s="25"/>
      <c r="ASM26" s="25"/>
      <c r="ASN26" s="25"/>
      <c r="ASO26" s="25"/>
      <c r="ASP26" s="25"/>
      <c r="ASQ26" s="25"/>
      <c r="ASR26" s="25"/>
      <c r="ASS26" s="25"/>
      <c r="AST26" s="25"/>
      <c r="ASU26" s="25"/>
      <c r="ASV26" s="25"/>
      <c r="ASW26" s="25"/>
      <c r="ASX26" s="25"/>
      <c r="ASY26" s="25"/>
      <c r="ASZ26" s="25"/>
      <c r="ATA26" s="25"/>
      <c r="ATB26" s="25"/>
      <c r="ATC26" s="25"/>
      <c r="ATD26" s="25"/>
      <c r="ATE26" s="25"/>
      <c r="ATF26" s="25"/>
      <c r="ATG26" s="25"/>
      <c r="ATH26" s="25"/>
      <c r="ATI26" s="25"/>
      <c r="ATJ26" s="25"/>
      <c r="ATK26" s="25"/>
      <c r="ATL26" s="25"/>
      <c r="ATM26" s="25"/>
      <c r="ATN26" s="25"/>
      <c r="ATO26" s="25"/>
      <c r="ATP26" s="25"/>
      <c r="ATQ26" s="25"/>
      <c r="ATR26" s="25"/>
      <c r="ATS26" s="25"/>
      <c r="ATT26" s="25"/>
      <c r="ATU26" s="25"/>
      <c r="ATV26" s="25"/>
      <c r="ATW26" s="25"/>
      <c r="ATX26" s="25"/>
      <c r="ATY26" s="25"/>
      <c r="ATZ26" s="25"/>
      <c r="AUA26" s="25"/>
      <c r="AUB26" s="25"/>
      <c r="AUC26" s="25"/>
      <c r="AUD26" s="25"/>
      <c r="AUE26" s="25"/>
      <c r="AUF26" s="25"/>
      <c r="AUG26" s="25"/>
      <c r="AUH26" s="25"/>
      <c r="AUI26" s="25"/>
      <c r="AUJ26" s="25"/>
      <c r="AUK26" s="25"/>
      <c r="AUL26" s="25"/>
      <c r="AUM26" s="25"/>
      <c r="AUN26" s="25"/>
      <c r="AUO26" s="25"/>
      <c r="AUP26" s="25"/>
      <c r="AUQ26" s="25"/>
      <c r="AUR26" s="25"/>
      <c r="AUS26" s="25"/>
      <c r="AUT26" s="25"/>
      <c r="AUU26" s="25"/>
      <c r="AUV26" s="25"/>
      <c r="AUW26" s="25"/>
      <c r="AUX26" s="25"/>
      <c r="AUY26" s="25"/>
      <c r="AUZ26" s="25"/>
      <c r="AVA26" s="25"/>
      <c r="AVB26" s="25"/>
      <c r="AVC26" s="25"/>
      <c r="AVD26" s="25"/>
      <c r="AVE26" s="25"/>
      <c r="AVF26" s="25"/>
      <c r="AVG26" s="25"/>
      <c r="AVH26" s="25"/>
      <c r="AVI26" s="25"/>
      <c r="AVJ26" s="25"/>
      <c r="AVK26" s="25"/>
      <c r="AVL26" s="25"/>
      <c r="AVM26" s="25"/>
      <c r="AVN26" s="25"/>
      <c r="AVO26" s="25"/>
      <c r="AVP26" s="25"/>
      <c r="AVQ26" s="25"/>
      <c r="AVR26" s="25"/>
      <c r="AVS26" s="25"/>
      <c r="AVT26" s="25"/>
      <c r="AVU26" s="25"/>
      <c r="AVV26" s="25"/>
      <c r="AVW26" s="25"/>
      <c r="AVX26" s="25"/>
      <c r="AVY26" s="25"/>
      <c r="AVZ26" s="25"/>
      <c r="AWA26" s="25"/>
      <c r="AWB26" s="25"/>
      <c r="AWC26" s="25"/>
      <c r="AWD26" s="25"/>
      <c r="AWE26" s="25"/>
      <c r="AWF26" s="25"/>
      <c r="AWG26" s="25"/>
      <c r="AWH26" s="25"/>
      <c r="AWI26" s="25"/>
      <c r="AWJ26" s="25"/>
      <c r="AWK26" s="25"/>
      <c r="AWL26" s="25"/>
      <c r="AWM26" s="25"/>
      <c r="AWN26" s="25"/>
      <c r="AWO26" s="25"/>
      <c r="AWP26" s="25"/>
      <c r="AWQ26" s="25"/>
      <c r="AWR26" s="25"/>
      <c r="AWS26" s="25"/>
      <c r="AWT26" s="25"/>
      <c r="AWU26" s="25"/>
      <c r="AWV26" s="25"/>
      <c r="AWW26" s="25"/>
      <c r="AWX26" s="25"/>
      <c r="AWY26" s="25"/>
      <c r="AWZ26" s="25"/>
      <c r="AXA26" s="25"/>
      <c r="AXB26" s="25"/>
      <c r="AXC26" s="25"/>
      <c r="AXD26" s="25"/>
      <c r="AXE26" s="25"/>
      <c r="AXF26" s="25"/>
      <c r="AXG26" s="25"/>
      <c r="AXH26" s="25"/>
      <c r="AXI26" s="25"/>
      <c r="AXJ26" s="25"/>
      <c r="AXK26" s="25"/>
      <c r="AXL26" s="25"/>
      <c r="AXM26" s="25"/>
      <c r="AXN26" s="25"/>
      <c r="AXO26" s="25"/>
      <c r="AXP26" s="25"/>
      <c r="AXQ26" s="25"/>
      <c r="AXR26" s="25"/>
      <c r="AXS26" s="25"/>
      <c r="AXT26" s="25"/>
      <c r="AXU26" s="25"/>
      <c r="AXV26" s="25"/>
      <c r="AXW26" s="25"/>
      <c r="AXX26" s="25"/>
      <c r="AXY26" s="25"/>
      <c r="AXZ26" s="25"/>
      <c r="AYA26" s="25"/>
      <c r="AYB26" s="25"/>
      <c r="AYC26" s="25"/>
      <c r="AYD26" s="25"/>
      <c r="AYE26" s="25"/>
      <c r="AYF26" s="25"/>
      <c r="AYG26" s="25"/>
      <c r="AYH26" s="25"/>
      <c r="AYI26" s="25"/>
      <c r="AYJ26" s="25"/>
      <c r="AYK26" s="25"/>
      <c r="AYL26" s="25"/>
      <c r="AYM26" s="25"/>
      <c r="AYN26" s="25"/>
      <c r="AYO26" s="25"/>
      <c r="AYP26" s="25"/>
      <c r="AYQ26" s="25"/>
      <c r="AYR26" s="25"/>
      <c r="AYS26" s="25"/>
      <c r="AYT26" s="25"/>
      <c r="AYU26" s="25"/>
      <c r="AYV26" s="25"/>
      <c r="AYW26" s="25"/>
      <c r="AYX26" s="25"/>
      <c r="AYY26" s="25"/>
      <c r="AYZ26" s="25"/>
      <c r="AZA26" s="25"/>
      <c r="AZB26" s="25"/>
      <c r="AZC26" s="25"/>
      <c r="AZD26" s="25"/>
      <c r="AZE26" s="25"/>
      <c r="AZF26" s="25"/>
      <c r="AZG26" s="25"/>
      <c r="AZH26" s="25"/>
      <c r="AZI26" s="25"/>
      <c r="AZJ26" s="25"/>
      <c r="AZK26" s="25"/>
      <c r="AZL26" s="25"/>
      <c r="AZM26" s="25"/>
      <c r="AZN26" s="25"/>
      <c r="AZO26" s="25"/>
      <c r="AZP26" s="25"/>
      <c r="AZQ26" s="25"/>
      <c r="AZR26" s="25"/>
      <c r="AZS26" s="25"/>
      <c r="AZT26" s="25"/>
      <c r="AZU26" s="25"/>
      <c r="AZV26" s="25"/>
      <c r="AZW26" s="25"/>
      <c r="AZX26" s="25"/>
      <c r="AZY26" s="25"/>
      <c r="AZZ26" s="25"/>
      <c r="BAA26" s="25"/>
      <c r="BAB26" s="25"/>
      <c r="BAC26" s="25"/>
      <c r="BAD26" s="25"/>
      <c r="BAE26" s="25"/>
      <c r="BAF26" s="25"/>
      <c r="BAG26" s="25"/>
      <c r="BAH26" s="25"/>
      <c r="BAI26" s="25"/>
      <c r="BAJ26" s="25"/>
      <c r="BAK26" s="25"/>
      <c r="BAL26" s="25"/>
      <c r="BAM26" s="25"/>
      <c r="BAN26" s="25"/>
      <c r="BAO26" s="25"/>
      <c r="BAP26" s="25"/>
      <c r="BAQ26" s="25"/>
      <c r="BAR26" s="25"/>
      <c r="BAS26" s="25"/>
      <c r="BAT26" s="25"/>
      <c r="BAU26" s="25"/>
      <c r="BAV26" s="25"/>
      <c r="BAW26" s="25"/>
      <c r="BAX26" s="25"/>
      <c r="BAY26" s="25"/>
      <c r="BAZ26" s="25"/>
      <c r="BBA26" s="25"/>
      <c r="BBB26" s="25"/>
      <c r="BBC26" s="25"/>
      <c r="BBD26" s="25"/>
      <c r="BBE26" s="25"/>
      <c r="BBF26" s="25"/>
      <c r="BBG26" s="25"/>
      <c r="BBH26" s="25"/>
      <c r="BBI26" s="25"/>
      <c r="BBJ26" s="25"/>
      <c r="BBK26" s="25"/>
      <c r="BBL26" s="25"/>
      <c r="BBM26" s="25"/>
      <c r="BBN26" s="25"/>
      <c r="BBO26" s="25"/>
      <c r="BBP26" s="25"/>
      <c r="BBQ26" s="25"/>
      <c r="BBR26" s="25"/>
      <c r="BBS26" s="25"/>
      <c r="BBT26" s="25"/>
      <c r="BBU26" s="25"/>
      <c r="BBV26" s="25"/>
      <c r="BBW26" s="25"/>
      <c r="BBX26" s="25"/>
      <c r="BBY26" s="25"/>
      <c r="BBZ26" s="25"/>
      <c r="BCA26" s="25"/>
      <c r="BCB26" s="25"/>
      <c r="BCC26" s="25"/>
      <c r="BCD26" s="25"/>
      <c r="BCE26" s="25"/>
      <c r="BCF26" s="25"/>
      <c r="BCG26" s="25"/>
      <c r="BCH26" s="25"/>
      <c r="BCI26" s="25"/>
      <c r="BCJ26" s="25"/>
      <c r="BCK26" s="25"/>
      <c r="BCL26" s="25"/>
      <c r="BCM26" s="25"/>
      <c r="BCN26" s="25"/>
      <c r="BCO26" s="25"/>
      <c r="BCP26" s="25"/>
      <c r="BCQ26" s="25"/>
      <c r="BCR26" s="25"/>
      <c r="BCS26" s="25"/>
      <c r="BCT26" s="25"/>
      <c r="BCU26" s="25"/>
      <c r="BCV26" s="25"/>
      <c r="BCW26" s="25"/>
      <c r="BCX26" s="25"/>
      <c r="BCY26" s="25"/>
      <c r="BCZ26" s="25"/>
      <c r="BDA26" s="25"/>
      <c r="BDB26" s="25"/>
      <c r="BDC26" s="25"/>
      <c r="BDD26" s="25"/>
      <c r="BDE26" s="25"/>
      <c r="BDF26" s="25"/>
      <c r="BDG26" s="25"/>
      <c r="BDH26" s="25"/>
      <c r="BDI26" s="25"/>
      <c r="BDJ26" s="25"/>
      <c r="BDK26" s="25"/>
      <c r="BDL26" s="25"/>
      <c r="BDM26" s="25"/>
      <c r="BDN26" s="25"/>
      <c r="BDO26" s="25"/>
      <c r="BDP26" s="25"/>
      <c r="BDQ26" s="25"/>
      <c r="BDR26" s="25"/>
      <c r="BDS26" s="25"/>
      <c r="BDT26" s="25"/>
      <c r="BDU26" s="25"/>
      <c r="BDV26" s="25"/>
      <c r="BDW26" s="25"/>
      <c r="BDX26" s="25"/>
      <c r="BDY26" s="25"/>
      <c r="BDZ26" s="25"/>
      <c r="BEA26" s="25"/>
      <c r="BEB26" s="25"/>
      <c r="BEC26" s="25"/>
      <c r="BED26" s="25"/>
      <c r="BEE26" s="25"/>
      <c r="BEF26" s="25"/>
      <c r="BEG26" s="25"/>
      <c r="BEH26" s="25"/>
      <c r="BEI26" s="25"/>
      <c r="BEJ26" s="25"/>
      <c r="BEK26" s="25"/>
      <c r="BEL26" s="25"/>
      <c r="BEM26" s="25"/>
      <c r="BEN26" s="25"/>
      <c r="BEO26" s="25"/>
      <c r="BEP26" s="25"/>
      <c r="BEQ26" s="25"/>
      <c r="BER26" s="25"/>
      <c r="BES26" s="25"/>
      <c r="BET26" s="25"/>
      <c r="BEU26" s="25"/>
      <c r="BEV26" s="25"/>
      <c r="BEW26" s="25"/>
      <c r="BEX26" s="25"/>
      <c r="BEY26" s="25"/>
      <c r="BEZ26" s="25"/>
      <c r="BFA26" s="25"/>
      <c r="BFB26" s="25"/>
      <c r="BFC26" s="25"/>
      <c r="BFD26" s="25"/>
      <c r="BFE26" s="25"/>
      <c r="BFF26" s="25"/>
      <c r="BFG26" s="25"/>
      <c r="BFH26" s="25"/>
      <c r="BFI26" s="25"/>
      <c r="BFJ26" s="25"/>
      <c r="BFK26" s="25"/>
      <c r="BFL26" s="25"/>
      <c r="BFM26" s="25"/>
      <c r="BFN26" s="25"/>
      <c r="BFO26" s="25"/>
      <c r="BFP26" s="25"/>
      <c r="BFQ26" s="25"/>
      <c r="BFR26" s="25"/>
      <c r="BFS26" s="25"/>
      <c r="BFT26" s="25"/>
      <c r="BFU26" s="25"/>
      <c r="BFV26" s="25"/>
      <c r="BFW26" s="25"/>
      <c r="BFX26" s="25"/>
      <c r="BFY26" s="25"/>
      <c r="BFZ26" s="25"/>
      <c r="BGA26" s="25"/>
      <c r="BGB26" s="25"/>
      <c r="BGC26" s="25"/>
      <c r="BGD26" s="25"/>
      <c r="BGE26" s="25"/>
      <c r="BGF26" s="25"/>
      <c r="BGG26" s="25"/>
      <c r="BGH26" s="25"/>
      <c r="BGI26" s="25"/>
      <c r="BGJ26" s="25"/>
      <c r="BGK26" s="25"/>
      <c r="BGL26" s="25"/>
      <c r="BGM26" s="25"/>
      <c r="BGN26" s="25"/>
      <c r="BGO26" s="25"/>
      <c r="BGP26" s="25"/>
      <c r="BGQ26" s="25"/>
      <c r="BGR26" s="25"/>
      <c r="BGS26" s="25"/>
      <c r="BGT26" s="25"/>
      <c r="BGU26" s="25"/>
      <c r="BGV26" s="25"/>
      <c r="BGW26" s="25"/>
      <c r="BGX26" s="25"/>
      <c r="BGY26" s="25"/>
      <c r="BGZ26" s="25"/>
      <c r="BHA26" s="25"/>
      <c r="BHB26" s="25"/>
      <c r="BHC26" s="25"/>
      <c r="BHD26" s="25"/>
      <c r="BHE26" s="25"/>
      <c r="BHF26" s="25"/>
      <c r="BHG26" s="25"/>
      <c r="BHH26" s="25"/>
      <c r="BHI26" s="25"/>
      <c r="BHJ26" s="25"/>
      <c r="BHK26" s="25"/>
      <c r="BHL26" s="25"/>
      <c r="BHM26" s="25"/>
      <c r="BHN26" s="25"/>
      <c r="BHO26" s="25"/>
      <c r="BHP26" s="25"/>
      <c r="BHQ26" s="25"/>
      <c r="BHR26" s="25"/>
      <c r="BHS26" s="25"/>
      <c r="BHT26" s="25"/>
      <c r="BHU26" s="25"/>
      <c r="BHV26" s="25"/>
      <c r="BHW26" s="25"/>
      <c r="BHX26" s="25"/>
      <c r="BHY26" s="25"/>
      <c r="BHZ26" s="25"/>
      <c r="BIA26" s="25"/>
      <c r="BIB26" s="25"/>
      <c r="BIC26" s="25"/>
      <c r="BID26" s="25"/>
      <c r="BIE26" s="25"/>
      <c r="BIF26" s="25"/>
      <c r="BIG26" s="25"/>
      <c r="BIH26" s="25"/>
      <c r="BII26" s="25"/>
      <c r="BIJ26" s="25"/>
      <c r="BIK26" s="25"/>
      <c r="BIL26" s="25"/>
      <c r="BIM26" s="25"/>
      <c r="BIN26" s="25"/>
      <c r="BIO26" s="25"/>
      <c r="BIP26" s="25"/>
      <c r="BIQ26" s="25"/>
      <c r="BIR26" s="25"/>
      <c r="BIS26" s="25"/>
      <c r="BIT26" s="25"/>
      <c r="BIU26" s="25"/>
      <c r="BIV26" s="25"/>
      <c r="BIW26" s="25"/>
      <c r="BIX26" s="25"/>
      <c r="BIY26" s="25"/>
      <c r="BIZ26" s="25"/>
      <c r="BJA26" s="25"/>
      <c r="BJB26" s="25"/>
      <c r="BJC26" s="25"/>
      <c r="BJD26" s="25"/>
      <c r="BJE26" s="25"/>
      <c r="BJF26" s="25"/>
      <c r="BJG26" s="25"/>
      <c r="BJH26" s="25"/>
      <c r="BJI26" s="25"/>
      <c r="BJJ26" s="25"/>
      <c r="BJK26" s="25"/>
      <c r="BJL26" s="25"/>
      <c r="BJM26" s="25"/>
      <c r="BJN26" s="25"/>
      <c r="BJO26" s="25"/>
      <c r="BJP26" s="25"/>
      <c r="BJQ26" s="25"/>
      <c r="BJR26" s="25"/>
      <c r="BJS26" s="25"/>
      <c r="BJT26" s="25"/>
      <c r="BJU26" s="25"/>
      <c r="BJV26" s="25"/>
      <c r="BJW26" s="25"/>
      <c r="BJX26" s="25"/>
      <c r="BJY26" s="25"/>
      <c r="BJZ26" s="25"/>
      <c r="BKA26" s="25"/>
      <c r="BKB26" s="25"/>
      <c r="BKC26" s="25"/>
      <c r="BKD26" s="25"/>
      <c r="BKE26" s="25"/>
      <c r="BKF26" s="25"/>
      <c r="BKG26" s="25"/>
      <c r="BKH26" s="25"/>
      <c r="BKI26" s="25"/>
      <c r="BKJ26" s="25"/>
      <c r="BKK26" s="25"/>
      <c r="BKL26" s="25"/>
      <c r="BKM26" s="25"/>
      <c r="BKN26" s="25"/>
      <c r="BKO26" s="25"/>
      <c r="BKP26" s="25"/>
      <c r="BKQ26" s="25"/>
      <c r="BKR26" s="25"/>
      <c r="BKS26" s="25"/>
      <c r="BKT26" s="25"/>
      <c r="BKU26" s="25"/>
      <c r="BKV26" s="25"/>
      <c r="BKW26" s="25"/>
      <c r="BKX26" s="25"/>
      <c r="BKY26" s="25"/>
      <c r="BKZ26" s="25"/>
      <c r="BLA26" s="25"/>
      <c r="BLB26" s="25"/>
      <c r="BLC26" s="25"/>
      <c r="BLD26" s="25"/>
      <c r="BLE26" s="25"/>
      <c r="BLF26" s="25"/>
      <c r="BLG26" s="25"/>
      <c r="BLH26" s="25"/>
      <c r="BLI26" s="25"/>
      <c r="BLJ26" s="25"/>
      <c r="BLK26" s="25"/>
      <c r="BLL26" s="25"/>
      <c r="BLM26" s="25"/>
      <c r="BLN26" s="25"/>
      <c r="BLO26" s="25"/>
      <c r="BLP26" s="25"/>
      <c r="BLQ26" s="25"/>
      <c r="BLR26" s="25"/>
      <c r="BLS26" s="25"/>
      <c r="BLT26" s="25"/>
      <c r="BLU26" s="25"/>
      <c r="BLV26" s="25"/>
      <c r="BLW26" s="25"/>
      <c r="BLX26" s="25"/>
      <c r="BLY26" s="25"/>
      <c r="BLZ26" s="25"/>
      <c r="BMA26" s="25"/>
      <c r="BMB26" s="25"/>
      <c r="BMC26" s="25"/>
      <c r="BMD26" s="25"/>
      <c r="BME26" s="25"/>
      <c r="BMF26" s="25"/>
      <c r="BMG26" s="25"/>
      <c r="BMH26" s="25"/>
      <c r="BMI26" s="25"/>
      <c r="BMJ26" s="25"/>
      <c r="BMK26" s="25"/>
      <c r="BML26" s="25"/>
      <c r="BMM26" s="25"/>
      <c r="BMN26" s="25"/>
      <c r="BMO26" s="25"/>
      <c r="BMP26" s="25"/>
      <c r="BMQ26" s="25"/>
      <c r="BMR26" s="25"/>
      <c r="BMS26" s="25"/>
      <c r="BMT26" s="25"/>
      <c r="BMU26" s="25"/>
      <c r="BMV26" s="25"/>
      <c r="BMW26" s="25"/>
      <c r="BMX26" s="25"/>
      <c r="BMY26" s="25"/>
      <c r="BMZ26" s="25"/>
      <c r="BNA26" s="25"/>
      <c r="BNB26" s="25"/>
      <c r="BNC26" s="25"/>
      <c r="BND26" s="25"/>
      <c r="BNE26" s="25"/>
      <c r="BNF26" s="25"/>
      <c r="BNG26" s="25"/>
      <c r="BNH26" s="25"/>
      <c r="BNI26" s="25"/>
      <c r="BNJ26" s="25"/>
      <c r="BNK26" s="25"/>
      <c r="BNL26" s="25"/>
      <c r="BNM26" s="25"/>
      <c r="BNN26" s="25"/>
      <c r="BNO26" s="25"/>
      <c r="BNP26" s="25"/>
      <c r="BNQ26" s="25"/>
      <c r="BNR26" s="25"/>
      <c r="BNS26" s="25"/>
      <c r="BNT26" s="25"/>
      <c r="BNU26" s="25"/>
      <c r="BNV26" s="25"/>
      <c r="BNW26" s="25"/>
      <c r="BNX26" s="25"/>
      <c r="BNY26" s="25"/>
      <c r="BNZ26" s="25"/>
      <c r="BOA26" s="25"/>
      <c r="BOB26" s="25"/>
      <c r="BOC26" s="25"/>
      <c r="BOD26" s="25"/>
      <c r="BOE26" s="25"/>
      <c r="BOF26" s="25"/>
      <c r="BOG26" s="25"/>
      <c r="BOH26" s="25"/>
      <c r="BOI26" s="25"/>
      <c r="BOJ26" s="25"/>
      <c r="BOK26" s="25"/>
      <c r="BOL26" s="25"/>
      <c r="BOM26" s="25"/>
      <c r="BON26" s="25"/>
    </row>
    <row r="27" s="3" customFormat="1" ht="18" customHeight="1" spans="1:1756">
      <c r="A27" s="13">
        <f t="shared" si="19"/>
        <v>43825</v>
      </c>
      <c r="B27" s="14">
        <v>74</v>
      </c>
      <c r="C27" s="15">
        <v>850</v>
      </c>
      <c r="D27" s="15">
        <v>1100</v>
      </c>
      <c r="E27" s="14">
        <v>45</v>
      </c>
      <c r="F27" s="15">
        <v>800</v>
      </c>
      <c r="G27" s="15">
        <v>1000</v>
      </c>
      <c r="H27" s="15">
        <v>18</v>
      </c>
      <c r="I27" s="15">
        <v>800</v>
      </c>
      <c r="J27" s="15">
        <v>950</v>
      </c>
      <c r="K27" s="15">
        <v>12</v>
      </c>
      <c r="L27" s="15">
        <v>950</v>
      </c>
      <c r="M27" s="15">
        <v>1020</v>
      </c>
      <c r="N27" s="15">
        <v>5</v>
      </c>
      <c r="O27" s="15">
        <v>800</v>
      </c>
      <c r="P27" s="15">
        <v>900</v>
      </c>
      <c r="Q27" s="10">
        <v>157</v>
      </c>
      <c r="R27" s="11"/>
      <c r="S27" s="11"/>
      <c r="T27" s="10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5"/>
      <c r="EY27" s="25"/>
      <c r="EZ27" s="25"/>
      <c r="FA27" s="25"/>
      <c r="FB27" s="25"/>
      <c r="FC27" s="25"/>
      <c r="FD27" s="25"/>
      <c r="FE27" s="25"/>
      <c r="FF27" s="25"/>
      <c r="FG27" s="25"/>
      <c r="FH27" s="25"/>
      <c r="FI27" s="25"/>
      <c r="FJ27" s="25"/>
      <c r="FK27" s="25"/>
      <c r="FL27" s="25"/>
      <c r="FM27" s="25"/>
      <c r="FN27" s="25"/>
      <c r="FO27" s="25"/>
      <c r="FP27" s="25"/>
      <c r="FQ27" s="25"/>
      <c r="FR27" s="25"/>
      <c r="FS27" s="25"/>
      <c r="FT27" s="25"/>
      <c r="FU27" s="25"/>
      <c r="FV27" s="25"/>
      <c r="FW27" s="25"/>
      <c r="FX27" s="25"/>
      <c r="FY27" s="25"/>
      <c r="FZ27" s="25"/>
      <c r="GA27" s="25"/>
      <c r="GB27" s="25"/>
      <c r="GC27" s="25"/>
      <c r="GD27" s="25"/>
      <c r="GE27" s="25"/>
      <c r="GF27" s="25"/>
      <c r="GG27" s="25"/>
      <c r="GH27" s="25"/>
      <c r="GI27" s="25"/>
      <c r="GJ27" s="25"/>
      <c r="GK27" s="25"/>
      <c r="GL27" s="25"/>
      <c r="GM27" s="25"/>
      <c r="GN27" s="25"/>
      <c r="GO27" s="25"/>
      <c r="GP27" s="25"/>
      <c r="GQ27" s="25"/>
      <c r="GR27" s="25"/>
      <c r="GS27" s="25"/>
      <c r="GT27" s="25"/>
      <c r="GU27" s="25"/>
      <c r="GV27" s="25"/>
      <c r="GW27" s="25"/>
      <c r="GX27" s="25"/>
      <c r="GY27" s="25"/>
      <c r="GZ27" s="25"/>
      <c r="HA27" s="25"/>
      <c r="HB27" s="25"/>
      <c r="HC27" s="25"/>
      <c r="HD27" s="25"/>
      <c r="HE27" s="25"/>
      <c r="HF27" s="25"/>
      <c r="HG27" s="25"/>
      <c r="HH27" s="25"/>
      <c r="HI27" s="25"/>
      <c r="HJ27" s="25"/>
      <c r="HK27" s="25"/>
      <c r="HL27" s="25"/>
      <c r="HM27" s="25"/>
      <c r="HN27" s="25"/>
      <c r="HO27" s="25"/>
      <c r="HP27" s="25"/>
      <c r="HQ27" s="25"/>
      <c r="HR27" s="25"/>
      <c r="HS27" s="25"/>
      <c r="HT27" s="25"/>
      <c r="HU27" s="25"/>
      <c r="HV27" s="25"/>
      <c r="HW27" s="25"/>
      <c r="HX27" s="25"/>
      <c r="HY27" s="25"/>
      <c r="HZ27" s="25"/>
      <c r="IA27" s="25"/>
      <c r="IB27" s="25"/>
      <c r="IC27" s="25"/>
      <c r="ID27" s="25"/>
      <c r="IE27" s="25"/>
      <c r="IF27" s="25"/>
      <c r="IG27" s="25"/>
      <c r="IH27" s="25"/>
      <c r="II27" s="25"/>
      <c r="IJ27" s="25"/>
      <c r="IK27" s="25"/>
      <c r="IL27" s="25"/>
      <c r="IM27" s="25"/>
      <c r="IN27" s="25"/>
      <c r="IO27" s="25"/>
      <c r="IP27" s="25"/>
      <c r="IQ27" s="25"/>
      <c r="IR27" s="25"/>
      <c r="IS27" s="25"/>
      <c r="IT27" s="25"/>
      <c r="IU27" s="25"/>
      <c r="IV27" s="25"/>
      <c r="IW27" s="25"/>
      <c r="IX27" s="25"/>
      <c r="IY27" s="25"/>
      <c r="IZ27" s="25"/>
      <c r="JA27" s="25"/>
      <c r="JB27" s="25"/>
      <c r="JC27" s="25"/>
      <c r="JD27" s="25"/>
      <c r="JE27" s="25"/>
      <c r="JF27" s="25"/>
      <c r="JG27" s="25"/>
      <c r="JH27" s="25"/>
      <c r="JI27" s="25"/>
      <c r="JJ27" s="25"/>
      <c r="JK27" s="25"/>
      <c r="JL27" s="25"/>
      <c r="JM27" s="25"/>
      <c r="JN27" s="25"/>
      <c r="JO27" s="25"/>
      <c r="JP27" s="25"/>
      <c r="JQ27" s="25"/>
      <c r="JR27" s="25"/>
      <c r="JS27" s="25"/>
      <c r="JT27" s="25"/>
      <c r="JU27" s="25"/>
      <c r="JV27" s="25"/>
      <c r="JW27" s="25"/>
      <c r="JX27" s="25"/>
      <c r="JY27" s="25"/>
      <c r="JZ27" s="25"/>
      <c r="KA27" s="25"/>
      <c r="KB27" s="25"/>
      <c r="KC27" s="25"/>
      <c r="KD27" s="25"/>
      <c r="KE27" s="25"/>
      <c r="KF27" s="25"/>
      <c r="KG27" s="25"/>
      <c r="KH27" s="25"/>
      <c r="KI27" s="25"/>
      <c r="KJ27" s="25"/>
      <c r="KK27" s="25"/>
      <c r="KL27" s="25"/>
      <c r="KM27" s="25"/>
      <c r="KN27" s="25"/>
      <c r="KO27" s="25"/>
      <c r="KP27" s="25"/>
      <c r="KQ27" s="25"/>
      <c r="KR27" s="25"/>
      <c r="KS27" s="25"/>
      <c r="KT27" s="25"/>
      <c r="KU27" s="25"/>
      <c r="KV27" s="25"/>
      <c r="KW27" s="25"/>
      <c r="KX27" s="25"/>
      <c r="KY27" s="25"/>
      <c r="KZ27" s="25"/>
      <c r="LA27" s="25"/>
      <c r="LB27" s="25"/>
      <c r="LC27" s="25"/>
      <c r="LD27" s="25"/>
      <c r="LE27" s="25"/>
      <c r="LF27" s="25"/>
      <c r="LG27" s="25"/>
      <c r="LH27" s="25"/>
      <c r="LI27" s="25"/>
      <c r="LJ27" s="25"/>
      <c r="LK27" s="25"/>
      <c r="LL27" s="25"/>
      <c r="LM27" s="25"/>
      <c r="LN27" s="25"/>
      <c r="LO27" s="25"/>
      <c r="LP27" s="25"/>
      <c r="LQ27" s="25"/>
      <c r="LR27" s="25"/>
      <c r="LS27" s="25"/>
      <c r="LT27" s="25"/>
      <c r="LU27" s="25"/>
      <c r="LV27" s="25"/>
      <c r="LW27" s="25"/>
      <c r="LX27" s="25"/>
      <c r="LY27" s="25"/>
      <c r="LZ27" s="25"/>
      <c r="MA27" s="25"/>
      <c r="MB27" s="25"/>
      <c r="MC27" s="25"/>
      <c r="MD27" s="25"/>
      <c r="ME27" s="25"/>
      <c r="MF27" s="25"/>
      <c r="MG27" s="25"/>
      <c r="MH27" s="25"/>
      <c r="MI27" s="25"/>
      <c r="MJ27" s="25"/>
      <c r="MK27" s="25"/>
      <c r="ML27" s="25"/>
      <c r="MM27" s="25"/>
      <c r="MN27" s="25"/>
      <c r="MO27" s="25"/>
      <c r="MP27" s="25"/>
      <c r="MQ27" s="25"/>
      <c r="MR27" s="25"/>
      <c r="MS27" s="25"/>
      <c r="MT27" s="25"/>
      <c r="MU27" s="25"/>
      <c r="MV27" s="25"/>
      <c r="MW27" s="25"/>
      <c r="MX27" s="25"/>
      <c r="MY27" s="25"/>
      <c r="MZ27" s="25"/>
      <c r="NA27" s="25"/>
      <c r="NB27" s="25"/>
      <c r="NC27" s="25"/>
      <c r="ND27" s="25"/>
      <c r="NE27" s="25"/>
      <c r="NF27" s="25"/>
      <c r="NG27" s="25"/>
      <c r="NH27" s="25"/>
      <c r="NI27" s="25"/>
      <c r="NJ27" s="25"/>
      <c r="NK27" s="25"/>
      <c r="NL27" s="25"/>
      <c r="NM27" s="25"/>
      <c r="NN27" s="25"/>
      <c r="NO27" s="25"/>
      <c r="NP27" s="25"/>
      <c r="NQ27" s="25"/>
      <c r="NR27" s="25"/>
      <c r="NS27" s="25"/>
      <c r="NT27" s="25"/>
      <c r="NU27" s="25"/>
      <c r="NV27" s="25"/>
      <c r="NW27" s="25"/>
      <c r="NX27" s="25"/>
      <c r="NY27" s="25"/>
      <c r="NZ27" s="25"/>
      <c r="OA27" s="25"/>
      <c r="OB27" s="25"/>
      <c r="OC27" s="25"/>
      <c r="OD27" s="25"/>
      <c r="OE27" s="25"/>
      <c r="OF27" s="25"/>
      <c r="OG27" s="25"/>
      <c r="OH27" s="25"/>
      <c r="OI27" s="25"/>
      <c r="OJ27" s="25"/>
      <c r="OK27" s="25"/>
      <c r="OL27" s="25"/>
      <c r="OM27" s="25"/>
      <c r="ON27" s="25"/>
      <c r="OO27" s="25"/>
      <c r="OP27" s="25"/>
      <c r="OQ27" s="25"/>
      <c r="OR27" s="25"/>
      <c r="OS27" s="25"/>
      <c r="OT27" s="25"/>
      <c r="OU27" s="25"/>
      <c r="OV27" s="25"/>
      <c r="OW27" s="25"/>
      <c r="OX27" s="25"/>
      <c r="OY27" s="25"/>
      <c r="OZ27" s="25"/>
      <c r="PA27" s="25"/>
      <c r="PB27" s="25"/>
      <c r="PC27" s="25"/>
      <c r="PD27" s="25"/>
      <c r="PE27" s="25"/>
      <c r="PF27" s="25"/>
      <c r="PG27" s="25"/>
      <c r="PH27" s="25"/>
      <c r="PI27" s="25"/>
      <c r="PJ27" s="25"/>
      <c r="PK27" s="25"/>
      <c r="PL27" s="25"/>
      <c r="PM27" s="25"/>
      <c r="PN27" s="25"/>
      <c r="PO27" s="25"/>
      <c r="PP27" s="25"/>
      <c r="PQ27" s="25"/>
      <c r="PR27" s="25"/>
      <c r="PS27" s="25"/>
      <c r="PT27" s="25"/>
      <c r="PU27" s="25"/>
      <c r="PV27" s="25"/>
      <c r="PW27" s="25"/>
      <c r="PX27" s="25"/>
      <c r="PY27" s="25"/>
      <c r="PZ27" s="25"/>
      <c r="QA27" s="25"/>
      <c r="QB27" s="25"/>
      <c r="QC27" s="25"/>
      <c r="QD27" s="25"/>
      <c r="QE27" s="25"/>
      <c r="QF27" s="25"/>
      <c r="QG27" s="25"/>
      <c r="QH27" s="25"/>
      <c r="QI27" s="25"/>
      <c r="QJ27" s="25"/>
      <c r="QK27" s="25"/>
      <c r="QL27" s="25"/>
      <c r="QM27" s="25"/>
      <c r="QN27" s="25"/>
      <c r="QO27" s="25"/>
      <c r="QP27" s="25"/>
      <c r="QQ27" s="25"/>
      <c r="QR27" s="25"/>
      <c r="QS27" s="25"/>
      <c r="QT27" s="25"/>
      <c r="QU27" s="25"/>
      <c r="QV27" s="25"/>
      <c r="QW27" s="25"/>
      <c r="QX27" s="25"/>
      <c r="QY27" s="25"/>
      <c r="QZ27" s="25"/>
      <c r="RA27" s="25"/>
      <c r="RB27" s="25"/>
      <c r="RC27" s="25"/>
      <c r="RD27" s="25"/>
      <c r="RE27" s="25"/>
      <c r="RF27" s="25"/>
      <c r="RG27" s="25"/>
      <c r="RH27" s="25"/>
      <c r="RI27" s="25"/>
      <c r="RJ27" s="25"/>
      <c r="RK27" s="25"/>
      <c r="RL27" s="25"/>
      <c r="RM27" s="25"/>
      <c r="RN27" s="25"/>
      <c r="RO27" s="25"/>
      <c r="RP27" s="25"/>
      <c r="RQ27" s="25"/>
      <c r="RR27" s="25"/>
      <c r="RS27" s="25"/>
      <c r="RT27" s="25"/>
      <c r="RU27" s="25"/>
      <c r="RV27" s="25"/>
      <c r="RW27" s="25"/>
      <c r="RX27" s="25"/>
      <c r="RY27" s="25"/>
      <c r="RZ27" s="25"/>
      <c r="SA27" s="25"/>
      <c r="SB27" s="25"/>
      <c r="SC27" s="25"/>
      <c r="SD27" s="25"/>
      <c r="SE27" s="25"/>
      <c r="SF27" s="25"/>
      <c r="SG27" s="25"/>
      <c r="SH27" s="25"/>
      <c r="SI27" s="25"/>
      <c r="SJ27" s="25"/>
      <c r="SK27" s="25"/>
      <c r="SL27" s="25"/>
      <c r="SM27" s="25"/>
      <c r="SN27" s="25"/>
      <c r="SO27" s="25"/>
      <c r="SP27" s="25"/>
      <c r="SQ27" s="25"/>
      <c r="SR27" s="25"/>
      <c r="SS27" s="25"/>
      <c r="ST27" s="25"/>
      <c r="SU27" s="25"/>
      <c r="SV27" s="25"/>
      <c r="SW27" s="25"/>
      <c r="SX27" s="25"/>
      <c r="SY27" s="25"/>
      <c r="SZ27" s="25"/>
      <c r="TA27" s="25"/>
      <c r="TB27" s="25"/>
      <c r="TC27" s="25"/>
      <c r="TD27" s="25"/>
      <c r="TE27" s="25"/>
      <c r="TF27" s="25"/>
      <c r="TG27" s="25"/>
      <c r="TH27" s="25"/>
      <c r="TI27" s="25"/>
      <c r="TJ27" s="25"/>
      <c r="TK27" s="25"/>
      <c r="TL27" s="25"/>
      <c r="TM27" s="25"/>
      <c r="TN27" s="25"/>
      <c r="TO27" s="25"/>
      <c r="TP27" s="25"/>
      <c r="TQ27" s="25"/>
      <c r="TR27" s="25"/>
      <c r="TS27" s="25"/>
      <c r="TT27" s="25"/>
      <c r="TU27" s="25"/>
      <c r="TV27" s="25"/>
      <c r="TW27" s="25"/>
      <c r="TX27" s="25"/>
      <c r="TY27" s="25"/>
      <c r="TZ27" s="25"/>
      <c r="UA27" s="25"/>
      <c r="UB27" s="25"/>
      <c r="UC27" s="25"/>
      <c r="UD27" s="25"/>
      <c r="UE27" s="25"/>
      <c r="UF27" s="25"/>
      <c r="UG27" s="25"/>
      <c r="UH27" s="25"/>
      <c r="UI27" s="25"/>
      <c r="UJ27" s="25"/>
      <c r="UK27" s="25"/>
      <c r="UL27" s="25"/>
      <c r="UM27" s="25"/>
      <c r="UN27" s="25"/>
      <c r="UO27" s="25"/>
      <c r="UP27" s="25"/>
      <c r="UQ27" s="25"/>
      <c r="UR27" s="25"/>
      <c r="US27" s="25"/>
      <c r="UT27" s="25"/>
      <c r="UU27" s="25"/>
      <c r="UV27" s="25"/>
      <c r="UW27" s="25"/>
      <c r="UX27" s="25"/>
      <c r="UY27" s="25"/>
      <c r="UZ27" s="25"/>
      <c r="VA27" s="25"/>
      <c r="VB27" s="25"/>
      <c r="VC27" s="25"/>
      <c r="VD27" s="25"/>
      <c r="VE27" s="25"/>
      <c r="VF27" s="25"/>
      <c r="VG27" s="25"/>
      <c r="VH27" s="25"/>
      <c r="VI27" s="25"/>
      <c r="VJ27" s="25"/>
      <c r="VK27" s="25"/>
      <c r="VL27" s="25"/>
      <c r="VM27" s="25"/>
      <c r="VN27" s="25"/>
      <c r="VO27" s="25"/>
      <c r="VP27" s="25"/>
      <c r="VQ27" s="25"/>
      <c r="VR27" s="25"/>
      <c r="VS27" s="25"/>
      <c r="VT27" s="25"/>
      <c r="VU27" s="25"/>
      <c r="VV27" s="25"/>
      <c r="VW27" s="25"/>
      <c r="VX27" s="25"/>
      <c r="VY27" s="25"/>
      <c r="VZ27" s="25"/>
      <c r="WA27" s="25"/>
      <c r="WB27" s="25"/>
      <c r="WC27" s="25"/>
      <c r="WD27" s="25"/>
      <c r="WE27" s="25"/>
      <c r="WF27" s="25"/>
      <c r="WG27" s="25"/>
      <c r="WH27" s="25"/>
      <c r="WI27" s="25"/>
      <c r="WJ27" s="25"/>
      <c r="WK27" s="25"/>
      <c r="WL27" s="25"/>
      <c r="WM27" s="25"/>
      <c r="WN27" s="25"/>
      <c r="WO27" s="25"/>
      <c r="WP27" s="25"/>
      <c r="WQ27" s="25"/>
      <c r="WR27" s="25"/>
      <c r="WS27" s="25"/>
      <c r="WT27" s="25"/>
      <c r="WU27" s="25"/>
      <c r="WV27" s="25"/>
      <c r="WW27" s="25"/>
      <c r="WX27" s="25"/>
      <c r="WY27" s="25"/>
      <c r="WZ27" s="25"/>
      <c r="XA27" s="25"/>
      <c r="XB27" s="25"/>
      <c r="XC27" s="25"/>
      <c r="XD27" s="25"/>
      <c r="XE27" s="25"/>
      <c r="XF27" s="25"/>
      <c r="XG27" s="25"/>
      <c r="XH27" s="25"/>
      <c r="XI27" s="25"/>
      <c r="XJ27" s="25"/>
      <c r="XK27" s="25"/>
      <c r="XL27" s="25"/>
      <c r="XM27" s="25"/>
      <c r="XN27" s="25"/>
      <c r="XO27" s="25"/>
      <c r="XP27" s="25"/>
      <c r="XQ27" s="25"/>
      <c r="XR27" s="25"/>
      <c r="XS27" s="25"/>
      <c r="XT27" s="25"/>
      <c r="XU27" s="25"/>
      <c r="XV27" s="25"/>
      <c r="XW27" s="25"/>
      <c r="XX27" s="25"/>
      <c r="XY27" s="25"/>
      <c r="XZ27" s="25"/>
      <c r="YA27" s="25"/>
      <c r="YB27" s="25"/>
      <c r="YC27" s="25"/>
      <c r="YD27" s="25"/>
      <c r="YE27" s="25"/>
      <c r="YF27" s="25"/>
      <c r="YG27" s="25"/>
      <c r="YH27" s="25"/>
      <c r="YI27" s="25"/>
      <c r="YJ27" s="25"/>
      <c r="YK27" s="25"/>
      <c r="YL27" s="25"/>
      <c r="YM27" s="25"/>
      <c r="YN27" s="25"/>
      <c r="YO27" s="25"/>
      <c r="YP27" s="25"/>
      <c r="YQ27" s="25"/>
      <c r="YR27" s="25"/>
      <c r="YS27" s="25"/>
      <c r="YT27" s="25"/>
      <c r="YU27" s="25"/>
      <c r="YV27" s="25"/>
      <c r="YW27" s="25"/>
      <c r="YX27" s="25"/>
      <c r="YY27" s="25"/>
      <c r="YZ27" s="25"/>
      <c r="ZA27" s="25"/>
      <c r="ZB27" s="25"/>
      <c r="ZC27" s="25"/>
      <c r="ZD27" s="25"/>
      <c r="ZE27" s="25"/>
      <c r="ZF27" s="25"/>
      <c r="ZG27" s="25"/>
      <c r="ZH27" s="25"/>
      <c r="ZI27" s="25"/>
      <c r="ZJ27" s="25"/>
      <c r="ZK27" s="25"/>
      <c r="ZL27" s="25"/>
      <c r="ZM27" s="25"/>
      <c r="ZN27" s="25"/>
      <c r="ZO27" s="25"/>
      <c r="ZP27" s="25"/>
      <c r="ZQ27" s="25"/>
      <c r="ZR27" s="25"/>
      <c r="ZS27" s="25"/>
      <c r="ZT27" s="25"/>
      <c r="ZU27" s="25"/>
      <c r="ZV27" s="25"/>
      <c r="ZW27" s="25"/>
      <c r="ZX27" s="25"/>
      <c r="ZY27" s="25"/>
      <c r="ZZ27" s="25"/>
      <c r="AAA27" s="25"/>
      <c r="AAB27" s="25"/>
      <c r="AAC27" s="25"/>
      <c r="AAD27" s="25"/>
      <c r="AAE27" s="25"/>
      <c r="AAF27" s="25"/>
      <c r="AAG27" s="25"/>
      <c r="AAH27" s="25"/>
      <c r="AAI27" s="25"/>
      <c r="AAJ27" s="25"/>
      <c r="AAK27" s="25"/>
      <c r="AAL27" s="25"/>
      <c r="AAM27" s="25"/>
      <c r="AAN27" s="25"/>
      <c r="AAO27" s="25"/>
      <c r="AAP27" s="25"/>
      <c r="AAQ27" s="25"/>
      <c r="AAR27" s="25"/>
      <c r="AAS27" s="25"/>
      <c r="AAT27" s="25"/>
      <c r="AAU27" s="25"/>
      <c r="AAV27" s="25"/>
      <c r="AAW27" s="25"/>
      <c r="AAX27" s="25"/>
      <c r="AAY27" s="25"/>
      <c r="AAZ27" s="25"/>
      <c r="ABA27" s="25"/>
      <c r="ABB27" s="25"/>
      <c r="ABC27" s="25"/>
      <c r="ABD27" s="25"/>
      <c r="ABE27" s="25"/>
      <c r="ABF27" s="25"/>
      <c r="ABG27" s="25"/>
      <c r="ABH27" s="25"/>
      <c r="ABI27" s="25"/>
      <c r="ABJ27" s="25"/>
      <c r="ABK27" s="25"/>
      <c r="ABL27" s="25"/>
      <c r="ABM27" s="25"/>
      <c r="ABN27" s="25"/>
      <c r="ABO27" s="25"/>
      <c r="ABP27" s="25"/>
      <c r="ABQ27" s="25"/>
      <c r="ABR27" s="25"/>
      <c r="ABS27" s="25"/>
      <c r="ABT27" s="25"/>
      <c r="ABU27" s="25"/>
      <c r="ABV27" s="25"/>
      <c r="ABW27" s="25"/>
      <c r="ABX27" s="25"/>
      <c r="ABY27" s="25"/>
      <c r="ABZ27" s="25"/>
      <c r="ACA27" s="25"/>
      <c r="ACB27" s="25"/>
      <c r="ACC27" s="25"/>
      <c r="ACD27" s="25"/>
      <c r="ACE27" s="25"/>
      <c r="ACF27" s="25"/>
      <c r="ACG27" s="25"/>
      <c r="ACH27" s="25"/>
      <c r="ACI27" s="25"/>
      <c r="ACJ27" s="25"/>
      <c r="ACK27" s="25"/>
      <c r="ACL27" s="25"/>
      <c r="ACM27" s="25"/>
      <c r="ACN27" s="25"/>
      <c r="ACO27" s="25"/>
      <c r="ACP27" s="25"/>
      <c r="ACQ27" s="25"/>
      <c r="ACR27" s="25"/>
      <c r="ACS27" s="25"/>
      <c r="ACT27" s="25"/>
      <c r="ACU27" s="25"/>
      <c r="ACV27" s="25"/>
      <c r="ACW27" s="25"/>
      <c r="ACX27" s="25"/>
      <c r="ACY27" s="25"/>
      <c r="ACZ27" s="25"/>
      <c r="ADA27" s="25"/>
      <c r="ADB27" s="25"/>
      <c r="ADC27" s="25"/>
      <c r="ADD27" s="25"/>
      <c r="ADE27" s="25"/>
      <c r="ADF27" s="25"/>
      <c r="ADG27" s="25"/>
      <c r="ADH27" s="25"/>
      <c r="ADI27" s="25"/>
      <c r="ADJ27" s="25"/>
      <c r="ADK27" s="25"/>
      <c r="ADL27" s="25"/>
      <c r="ADM27" s="25"/>
      <c r="ADN27" s="25"/>
      <c r="ADO27" s="25"/>
      <c r="ADP27" s="25"/>
      <c r="ADQ27" s="25"/>
      <c r="ADR27" s="25"/>
      <c r="ADS27" s="25"/>
      <c r="ADT27" s="25"/>
      <c r="ADU27" s="25"/>
      <c r="ADV27" s="25"/>
      <c r="ADW27" s="25"/>
      <c r="ADX27" s="25"/>
      <c r="ADY27" s="25"/>
      <c r="ADZ27" s="25"/>
      <c r="AEA27" s="25"/>
      <c r="AEB27" s="25"/>
      <c r="AEC27" s="25"/>
      <c r="AED27" s="25"/>
      <c r="AEE27" s="25"/>
      <c r="AEF27" s="25"/>
      <c r="AEG27" s="25"/>
      <c r="AEH27" s="25"/>
      <c r="AEI27" s="25"/>
      <c r="AEJ27" s="25"/>
      <c r="AEK27" s="25"/>
      <c r="AEL27" s="25"/>
      <c r="AEM27" s="25"/>
      <c r="AEN27" s="25"/>
      <c r="AEO27" s="25"/>
      <c r="AEP27" s="25"/>
      <c r="AEQ27" s="25"/>
      <c r="AER27" s="25"/>
      <c r="AES27" s="25"/>
      <c r="AET27" s="25"/>
      <c r="AEU27" s="25"/>
      <c r="AEV27" s="25"/>
      <c r="AEW27" s="25"/>
      <c r="AEX27" s="25"/>
      <c r="AEY27" s="25"/>
      <c r="AEZ27" s="25"/>
      <c r="AFA27" s="25"/>
      <c r="AFB27" s="25"/>
      <c r="AFC27" s="25"/>
      <c r="AFD27" s="25"/>
      <c r="AFE27" s="25"/>
      <c r="AFF27" s="25"/>
      <c r="AFG27" s="25"/>
      <c r="AFH27" s="25"/>
      <c r="AFI27" s="25"/>
      <c r="AFJ27" s="25"/>
      <c r="AFK27" s="25"/>
      <c r="AFL27" s="25"/>
      <c r="AFM27" s="25"/>
      <c r="AFN27" s="25"/>
      <c r="AFO27" s="25"/>
      <c r="AFP27" s="25"/>
      <c r="AFQ27" s="25"/>
      <c r="AFR27" s="25"/>
      <c r="AFS27" s="25"/>
      <c r="AFT27" s="25"/>
      <c r="AFU27" s="25"/>
      <c r="AFV27" s="25"/>
      <c r="AFW27" s="25"/>
      <c r="AFX27" s="25"/>
      <c r="AFY27" s="25"/>
      <c r="AFZ27" s="25"/>
      <c r="AGA27" s="25"/>
      <c r="AGB27" s="25"/>
      <c r="AGC27" s="25"/>
      <c r="AGD27" s="25"/>
      <c r="AGE27" s="25"/>
      <c r="AGF27" s="25"/>
      <c r="AGG27" s="25"/>
      <c r="AGH27" s="25"/>
      <c r="AGI27" s="25"/>
      <c r="AGJ27" s="25"/>
      <c r="AGK27" s="25"/>
      <c r="AGL27" s="25"/>
      <c r="AGM27" s="25"/>
      <c r="AGN27" s="25"/>
      <c r="AGO27" s="25"/>
      <c r="AGP27" s="25"/>
      <c r="AGQ27" s="25"/>
      <c r="AGR27" s="25"/>
      <c r="AGS27" s="25"/>
      <c r="AGT27" s="25"/>
      <c r="AGU27" s="25"/>
      <c r="AGV27" s="25"/>
      <c r="AGW27" s="25"/>
      <c r="AGX27" s="25"/>
      <c r="AGY27" s="25"/>
      <c r="AGZ27" s="25"/>
      <c r="AHA27" s="25"/>
      <c r="AHB27" s="25"/>
      <c r="AHC27" s="25"/>
      <c r="AHD27" s="25"/>
      <c r="AHE27" s="25"/>
      <c r="AHF27" s="25"/>
      <c r="AHG27" s="25"/>
      <c r="AHH27" s="25"/>
      <c r="AHI27" s="25"/>
      <c r="AHJ27" s="25"/>
      <c r="AHK27" s="25"/>
      <c r="AHL27" s="25"/>
      <c r="AHM27" s="25"/>
      <c r="AHN27" s="25"/>
      <c r="AHO27" s="25"/>
      <c r="AHP27" s="25"/>
      <c r="AHQ27" s="25"/>
      <c r="AHR27" s="25"/>
      <c r="AHS27" s="25"/>
      <c r="AHT27" s="25"/>
      <c r="AHU27" s="25"/>
      <c r="AHV27" s="25"/>
      <c r="AHW27" s="25"/>
      <c r="AHX27" s="25"/>
      <c r="AHY27" s="25"/>
      <c r="AHZ27" s="25"/>
      <c r="AIA27" s="25"/>
      <c r="AIB27" s="25"/>
      <c r="AIC27" s="25"/>
      <c r="AID27" s="25"/>
      <c r="AIE27" s="25"/>
      <c r="AIF27" s="25"/>
      <c r="AIG27" s="25"/>
      <c r="AIH27" s="25"/>
      <c r="AII27" s="25"/>
      <c r="AIJ27" s="25"/>
      <c r="AIK27" s="25"/>
      <c r="AIL27" s="25"/>
      <c r="AIM27" s="25"/>
      <c r="AIN27" s="25"/>
      <c r="AIO27" s="25"/>
      <c r="AIP27" s="25"/>
      <c r="AIQ27" s="25"/>
      <c r="AIR27" s="25"/>
      <c r="AIS27" s="25"/>
      <c r="AIT27" s="25"/>
      <c r="AIU27" s="25"/>
      <c r="AIV27" s="25"/>
      <c r="AIW27" s="25"/>
      <c r="AIX27" s="25"/>
      <c r="AIY27" s="25"/>
      <c r="AIZ27" s="25"/>
      <c r="AJA27" s="25"/>
      <c r="AJB27" s="25"/>
      <c r="AJC27" s="25"/>
      <c r="AJD27" s="25"/>
      <c r="AJE27" s="25"/>
      <c r="AJF27" s="25"/>
      <c r="AJG27" s="25"/>
      <c r="AJH27" s="25"/>
      <c r="AJI27" s="25"/>
      <c r="AJJ27" s="25"/>
      <c r="AJK27" s="25"/>
      <c r="AJL27" s="25"/>
      <c r="AJM27" s="25"/>
      <c r="AJN27" s="25"/>
      <c r="AJO27" s="25"/>
      <c r="AJP27" s="25"/>
      <c r="AJQ27" s="25"/>
      <c r="AJR27" s="25"/>
      <c r="AJS27" s="25"/>
      <c r="AJT27" s="25"/>
      <c r="AJU27" s="25"/>
      <c r="AJV27" s="25"/>
      <c r="AJW27" s="25"/>
      <c r="AJX27" s="25"/>
      <c r="AJY27" s="25"/>
      <c r="AJZ27" s="25"/>
      <c r="AKA27" s="25"/>
      <c r="AKB27" s="25"/>
      <c r="AKC27" s="25"/>
      <c r="AKD27" s="25"/>
      <c r="AKE27" s="25"/>
      <c r="AKF27" s="25"/>
      <c r="AKG27" s="25"/>
      <c r="AKH27" s="25"/>
      <c r="AKI27" s="25"/>
      <c r="AKJ27" s="25"/>
      <c r="AKK27" s="25"/>
      <c r="AKL27" s="25"/>
      <c r="AKM27" s="25"/>
      <c r="AKN27" s="25"/>
      <c r="AKO27" s="25"/>
      <c r="AKP27" s="25"/>
      <c r="AKQ27" s="25"/>
      <c r="AKR27" s="25"/>
      <c r="AKS27" s="25"/>
      <c r="AKT27" s="25"/>
      <c r="AKU27" s="25"/>
      <c r="AKV27" s="25"/>
      <c r="AKW27" s="25"/>
      <c r="AKX27" s="25"/>
      <c r="AKY27" s="25"/>
      <c r="AKZ27" s="25"/>
      <c r="ALA27" s="25"/>
      <c r="ALB27" s="25"/>
      <c r="ALC27" s="25"/>
      <c r="ALD27" s="25"/>
      <c r="ALE27" s="25"/>
      <c r="ALF27" s="25"/>
      <c r="ALG27" s="25"/>
      <c r="ALH27" s="25"/>
      <c r="ALI27" s="25"/>
      <c r="ALJ27" s="25"/>
      <c r="ALK27" s="25"/>
      <c r="ALL27" s="25"/>
      <c r="ALM27" s="25"/>
      <c r="ALN27" s="25"/>
      <c r="ALO27" s="25"/>
      <c r="ALP27" s="25"/>
      <c r="ALQ27" s="25"/>
      <c r="ALR27" s="25"/>
      <c r="ALS27" s="25"/>
      <c r="ALT27" s="25"/>
      <c r="ALU27" s="25"/>
      <c r="ALV27" s="25"/>
      <c r="ALW27" s="25"/>
      <c r="ALX27" s="25"/>
      <c r="ALY27" s="25"/>
      <c r="ALZ27" s="25"/>
      <c r="AMA27" s="25"/>
      <c r="AMB27" s="25"/>
      <c r="AMC27" s="25"/>
      <c r="AMD27" s="25"/>
      <c r="AME27" s="25"/>
      <c r="AMF27" s="25"/>
      <c r="AMG27" s="25"/>
      <c r="AMH27" s="25"/>
      <c r="AMI27" s="25"/>
      <c r="AMJ27" s="25"/>
      <c r="AMK27" s="25"/>
      <c r="AML27" s="25"/>
      <c r="AMM27" s="25"/>
      <c r="AMN27" s="25"/>
      <c r="AMO27" s="25"/>
      <c r="AMP27" s="25"/>
      <c r="AMQ27" s="25"/>
      <c r="AMR27" s="25"/>
      <c r="AMS27" s="25"/>
      <c r="AMT27" s="25"/>
      <c r="AMU27" s="25"/>
      <c r="AMV27" s="25"/>
      <c r="AMW27" s="25"/>
      <c r="AMX27" s="25"/>
      <c r="AMY27" s="25"/>
      <c r="AMZ27" s="25"/>
      <c r="ANA27" s="25"/>
      <c r="ANB27" s="25"/>
      <c r="ANC27" s="25"/>
      <c r="AND27" s="25"/>
      <c r="ANE27" s="25"/>
      <c r="ANF27" s="25"/>
      <c r="ANG27" s="25"/>
      <c r="ANH27" s="25"/>
      <c r="ANI27" s="25"/>
      <c r="ANJ27" s="25"/>
      <c r="ANK27" s="25"/>
      <c r="ANL27" s="25"/>
      <c r="ANM27" s="25"/>
      <c r="ANN27" s="25"/>
      <c r="ANO27" s="25"/>
      <c r="ANP27" s="25"/>
      <c r="ANQ27" s="25"/>
      <c r="ANR27" s="25"/>
      <c r="ANS27" s="25"/>
      <c r="ANT27" s="25"/>
      <c r="ANU27" s="25"/>
      <c r="ANV27" s="25"/>
      <c r="ANW27" s="25"/>
      <c r="ANX27" s="25"/>
      <c r="ANY27" s="25"/>
      <c r="ANZ27" s="25"/>
      <c r="AOA27" s="25"/>
      <c r="AOB27" s="25"/>
      <c r="AOC27" s="25"/>
      <c r="AOD27" s="25"/>
      <c r="AOE27" s="25"/>
      <c r="AOF27" s="25"/>
      <c r="AOG27" s="25"/>
      <c r="AOH27" s="25"/>
      <c r="AOI27" s="25"/>
      <c r="AOJ27" s="25"/>
      <c r="AOK27" s="25"/>
      <c r="AOL27" s="25"/>
      <c r="AOM27" s="25"/>
      <c r="AON27" s="25"/>
      <c r="AOO27" s="25"/>
      <c r="AOP27" s="25"/>
      <c r="AOQ27" s="25"/>
      <c r="AOR27" s="25"/>
      <c r="AOS27" s="25"/>
      <c r="AOT27" s="25"/>
      <c r="AOU27" s="25"/>
      <c r="AOV27" s="25"/>
      <c r="AOW27" s="25"/>
      <c r="AOX27" s="25"/>
      <c r="AOY27" s="25"/>
      <c r="AOZ27" s="25"/>
      <c r="APA27" s="25"/>
      <c r="APB27" s="25"/>
      <c r="APC27" s="25"/>
      <c r="APD27" s="25"/>
      <c r="APE27" s="25"/>
      <c r="APF27" s="25"/>
      <c r="APG27" s="25"/>
      <c r="APH27" s="25"/>
      <c r="API27" s="25"/>
      <c r="APJ27" s="25"/>
      <c r="APK27" s="25"/>
      <c r="APL27" s="25"/>
      <c r="APM27" s="25"/>
      <c r="APN27" s="25"/>
      <c r="APO27" s="25"/>
      <c r="APP27" s="25"/>
      <c r="APQ27" s="25"/>
      <c r="APR27" s="25"/>
      <c r="APS27" s="25"/>
      <c r="APT27" s="25"/>
      <c r="APU27" s="25"/>
      <c r="APV27" s="25"/>
      <c r="APW27" s="25"/>
      <c r="APX27" s="25"/>
      <c r="APY27" s="25"/>
      <c r="APZ27" s="25"/>
      <c r="AQA27" s="25"/>
      <c r="AQB27" s="25"/>
      <c r="AQC27" s="25"/>
      <c r="AQD27" s="25"/>
      <c r="AQE27" s="25"/>
      <c r="AQF27" s="25"/>
      <c r="AQG27" s="25"/>
      <c r="AQH27" s="25"/>
      <c r="AQI27" s="25"/>
      <c r="AQJ27" s="25"/>
      <c r="AQK27" s="25"/>
      <c r="AQL27" s="25"/>
      <c r="AQM27" s="25"/>
      <c r="AQN27" s="25"/>
      <c r="AQO27" s="25"/>
      <c r="AQP27" s="25"/>
      <c r="AQQ27" s="25"/>
      <c r="AQR27" s="25"/>
      <c r="AQS27" s="25"/>
      <c r="AQT27" s="25"/>
      <c r="AQU27" s="25"/>
      <c r="AQV27" s="25"/>
      <c r="AQW27" s="25"/>
      <c r="AQX27" s="25"/>
      <c r="AQY27" s="25"/>
      <c r="AQZ27" s="25"/>
      <c r="ARA27" s="25"/>
      <c r="ARB27" s="25"/>
      <c r="ARC27" s="25"/>
      <c r="ARD27" s="25"/>
      <c r="ARE27" s="25"/>
      <c r="ARF27" s="25"/>
      <c r="ARG27" s="25"/>
      <c r="ARH27" s="25"/>
      <c r="ARI27" s="25"/>
      <c r="ARJ27" s="25"/>
      <c r="ARK27" s="25"/>
      <c r="ARL27" s="25"/>
      <c r="ARM27" s="25"/>
      <c r="ARN27" s="25"/>
      <c r="ARO27" s="25"/>
      <c r="ARP27" s="25"/>
      <c r="ARQ27" s="25"/>
      <c r="ARR27" s="25"/>
      <c r="ARS27" s="25"/>
      <c r="ART27" s="25"/>
      <c r="ARU27" s="25"/>
      <c r="ARV27" s="25"/>
      <c r="ARW27" s="25"/>
      <c r="ARX27" s="25"/>
      <c r="ARY27" s="25"/>
      <c r="ARZ27" s="25"/>
      <c r="ASA27" s="25"/>
      <c r="ASB27" s="25"/>
      <c r="ASC27" s="25"/>
      <c r="ASD27" s="25"/>
      <c r="ASE27" s="25"/>
      <c r="ASF27" s="25"/>
      <c r="ASG27" s="25"/>
      <c r="ASH27" s="25"/>
      <c r="ASI27" s="25"/>
      <c r="ASJ27" s="25"/>
      <c r="ASK27" s="25"/>
      <c r="ASL27" s="25"/>
      <c r="ASM27" s="25"/>
      <c r="ASN27" s="25"/>
      <c r="ASO27" s="25"/>
      <c r="ASP27" s="25"/>
      <c r="ASQ27" s="25"/>
      <c r="ASR27" s="25"/>
      <c r="ASS27" s="25"/>
      <c r="AST27" s="25"/>
      <c r="ASU27" s="25"/>
      <c r="ASV27" s="25"/>
      <c r="ASW27" s="25"/>
      <c r="ASX27" s="25"/>
      <c r="ASY27" s="25"/>
      <c r="ASZ27" s="25"/>
      <c r="ATA27" s="25"/>
      <c r="ATB27" s="25"/>
      <c r="ATC27" s="25"/>
      <c r="ATD27" s="25"/>
      <c r="ATE27" s="25"/>
      <c r="ATF27" s="25"/>
      <c r="ATG27" s="25"/>
      <c r="ATH27" s="25"/>
      <c r="ATI27" s="25"/>
      <c r="ATJ27" s="25"/>
      <c r="ATK27" s="25"/>
      <c r="ATL27" s="25"/>
      <c r="ATM27" s="25"/>
      <c r="ATN27" s="25"/>
      <c r="ATO27" s="25"/>
      <c r="ATP27" s="25"/>
      <c r="ATQ27" s="25"/>
      <c r="ATR27" s="25"/>
      <c r="ATS27" s="25"/>
      <c r="ATT27" s="25"/>
      <c r="ATU27" s="25"/>
      <c r="ATV27" s="25"/>
      <c r="ATW27" s="25"/>
      <c r="ATX27" s="25"/>
      <c r="ATY27" s="25"/>
      <c r="ATZ27" s="25"/>
      <c r="AUA27" s="25"/>
      <c r="AUB27" s="25"/>
      <c r="AUC27" s="25"/>
      <c r="AUD27" s="25"/>
      <c r="AUE27" s="25"/>
      <c r="AUF27" s="25"/>
      <c r="AUG27" s="25"/>
      <c r="AUH27" s="25"/>
      <c r="AUI27" s="25"/>
      <c r="AUJ27" s="25"/>
      <c r="AUK27" s="25"/>
      <c r="AUL27" s="25"/>
      <c r="AUM27" s="25"/>
      <c r="AUN27" s="25"/>
      <c r="AUO27" s="25"/>
      <c r="AUP27" s="25"/>
      <c r="AUQ27" s="25"/>
      <c r="AUR27" s="25"/>
      <c r="AUS27" s="25"/>
      <c r="AUT27" s="25"/>
      <c r="AUU27" s="25"/>
      <c r="AUV27" s="25"/>
      <c r="AUW27" s="25"/>
      <c r="AUX27" s="25"/>
      <c r="AUY27" s="25"/>
      <c r="AUZ27" s="25"/>
      <c r="AVA27" s="25"/>
      <c r="AVB27" s="25"/>
      <c r="AVC27" s="25"/>
      <c r="AVD27" s="25"/>
      <c r="AVE27" s="25"/>
      <c r="AVF27" s="25"/>
      <c r="AVG27" s="25"/>
      <c r="AVH27" s="25"/>
      <c r="AVI27" s="25"/>
      <c r="AVJ27" s="25"/>
      <c r="AVK27" s="25"/>
      <c r="AVL27" s="25"/>
      <c r="AVM27" s="25"/>
      <c r="AVN27" s="25"/>
      <c r="AVO27" s="25"/>
      <c r="AVP27" s="25"/>
      <c r="AVQ27" s="25"/>
      <c r="AVR27" s="25"/>
      <c r="AVS27" s="25"/>
      <c r="AVT27" s="25"/>
      <c r="AVU27" s="25"/>
      <c r="AVV27" s="25"/>
      <c r="AVW27" s="25"/>
      <c r="AVX27" s="25"/>
      <c r="AVY27" s="25"/>
      <c r="AVZ27" s="25"/>
      <c r="AWA27" s="25"/>
      <c r="AWB27" s="25"/>
      <c r="AWC27" s="25"/>
      <c r="AWD27" s="25"/>
      <c r="AWE27" s="25"/>
      <c r="AWF27" s="25"/>
      <c r="AWG27" s="25"/>
      <c r="AWH27" s="25"/>
      <c r="AWI27" s="25"/>
      <c r="AWJ27" s="25"/>
      <c r="AWK27" s="25"/>
      <c r="AWL27" s="25"/>
      <c r="AWM27" s="25"/>
      <c r="AWN27" s="25"/>
      <c r="AWO27" s="25"/>
      <c r="AWP27" s="25"/>
      <c r="AWQ27" s="25"/>
      <c r="AWR27" s="25"/>
      <c r="AWS27" s="25"/>
      <c r="AWT27" s="25"/>
      <c r="AWU27" s="25"/>
      <c r="AWV27" s="25"/>
      <c r="AWW27" s="25"/>
      <c r="AWX27" s="25"/>
      <c r="AWY27" s="25"/>
      <c r="AWZ27" s="25"/>
      <c r="AXA27" s="25"/>
      <c r="AXB27" s="25"/>
      <c r="AXC27" s="25"/>
      <c r="AXD27" s="25"/>
      <c r="AXE27" s="25"/>
      <c r="AXF27" s="25"/>
      <c r="AXG27" s="25"/>
      <c r="AXH27" s="25"/>
      <c r="AXI27" s="25"/>
      <c r="AXJ27" s="25"/>
      <c r="AXK27" s="25"/>
      <c r="AXL27" s="25"/>
      <c r="AXM27" s="25"/>
      <c r="AXN27" s="25"/>
      <c r="AXO27" s="25"/>
      <c r="AXP27" s="25"/>
      <c r="AXQ27" s="25"/>
      <c r="AXR27" s="25"/>
      <c r="AXS27" s="25"/>
      <c r="AXT27" s="25"/>
      <c r="AXU27" s="25"/>
      <c r="AXV27" s="25"/>
      <c r="AXW27" s="25"/>
      <c r="AXX27" s="25"/>
      <c r="AXY27" s="25"/>
      <c r="AXZ27" s="25"/>
      <c r="AYA27" s="25"/>
      <c r="AYB27" s="25"/>
      <c r="AYC27" s="25"/>
      <c r="AYD27" s="25"/>
      <c r="AYE27" s="25"/>
      <c r="AYF27" s="25"/>
      <c r="AYG27" s="25"/>
      <c r="AYH27" s="25"/>
      <c r="AYI27" s="25"/>
      <c r="AYJ27" s="25"/>
      <c r="AYK27" s="25"/>
      <c r="AYL27" s="25"/>
      <c r="AYM27" s="25"/>
      <c r="AYN27" s="25"/>
      <c r="AYO27" s="25"/>
      <c r="AYP27" s="25"/>
      <c r="AYQ27" s="25"/>
      <c r="AYR27" s="25"/>
      <c r="AYS27" s="25"/>
      <c r="AYT27" s="25"/>
      <c r="AYU27" s="25"/>
      <c r="AYV27" s="25"/>
      <c r="AYW27" s="25"/>
      <c r="AYX27" s="25"/>
      <c r="AYY27" s="25"/>
      <c r="AYZ27" s="25"/>
      <c r="AZA27" s="25"/>
      <c r="AZB27" s="25"/>
      <c r="AZC27" s="25"/>
      <c r="AZD27" s="25"/>
      <c r="AZE27" s="25"/>
      <c r="AZF27" s="25"/>
      <c r="AZG27" s="25"/>
      <c r="AZH27" s="25"/>
      <c r="AZI27" s="25"/>
      <c r="AZJ27" s="25"/>
      <c r="AZK27" s="25"/>
      <c r="AZL27" s="25"/>
      <c r="AZM27" s="25"/>
      <c r="AZN27" s="25"/>
      <c r="AZO27" s="25"/>
      <c r="AZP27" s="25"/>
      <c r="AZQ27" s="25"/>
      <c r="AZR27" s="25"/>
      <c r="AZS27" s="25"/>
      <c r="AZT27" s="25"/>
      <c r="AZU27" s="25"/>
      <c r="AZV27" s="25"/>
      <c r="AZW27" s="25"/>
      <c r="AZX27" s="25"/>
      <c r="AZY27" s="25"/>
      <c r="AZZ27" s="25"/>
      <c r="BAA27" s="25"/>
      <c r="BAB27" s="25"/>
      <c r="BAC27" s="25"/>
      <c r="BAD27" s="25"/>
      <c r="BAE27" s="25"/>
      <c r="BAF27" s="25"/>
      <c r="BAG27" s="25"/>
      <c r="BAH27" s="25"/>
      <c r="BAI27" s="25"/>
      <c r="BAJ27" s="25"/>
      <c r="BAK27" s="25"/>
      <c r="BAL27" s="25"/>
      <c r="BAM27" s="25"/>
      <c r="BAN27" s="25"/>
      <c r="BAO27" s="25"/>
      <c r="BAP27" s="25"/>
      <c r="BAQ27" s="25"/>
      <c r="BAR27" s="25"/>
      <c r="BAS27" s="25"/>
      <c r="BAT27" s="25"/>
      <c r="BAU27" s="25"/>
      <c r="BAV27" s="25"/>
      <c r="BAW27" s="25"/>
      <c r="BAX27" s="25"/>
      <c r="BAY27" s="25"/>
      <c r="BAZ27" s="25"/>
      <c r="BBA27" s="25"/>
      <c r="BBB27" s="25"/>
      <c r="BBC27" s="25"/>
      <c r="BBD27" s="25"/>
      <c r="BBE27" s="25"/>
      <c r="BBF27" s="25"/>
      <c r="BBG27" s="25"/>
      <c r="BBH27" s="25"/>
      <c r="BBI27" s="25"/>
      <c r="BBJ27" s="25"/>
      <c r="BBK27" s="25"/>
      <c r="BBL27" s="25"/>
      <c r="BBM27" s="25"/>
      <c r="BBN27" s="25"/>
      <c r="BBO27" s="25"/>
      <c r="BBP27" s="25"/>
      <c r="BBQ27" s="25"/>
      <c r="BBR27" s="25"/>
      <c r="BBS27" s="25"/>
      <c r="BBT27" s="25"/>
      <c r="BBU27" s="25"/>
      <c r="BBV27" s="25"/>
      <c r="BBW27" s="25"/>
      <c r="BBX27" s="25"/>
      <c r="BBY27" s="25"/>
      <c r="BBZ27" s="25"/>
      <c r="BCA27" s="25"/>
      <c r="BCB27" s="25"/>
      <c r="BCC27" s="25"/>
      <c r="BCD27" s="25"/>
      <c r="BCE27" s="25"/>
      <c r="BCF27" s="25"/>
      <c r="BCG27" s="25"/>
      <c r="BCH27" s="25"/>
      <c r="BCI27" s="25"/>
      <c r="BCJ27" s="25"/>
      <c r="BCK27" s="25"/>
      <c r="BCL27" s="25"/>
      <c r="BCM27" s="25"/>
      <c r="BCN27" s="25"/>
      <c r="BCO27" s="25"/>
      <c r="BCP27" s="25"/>
      <c r="BCQ27" s="25"/>
      <c r="BCR27" s="25"/>
      <c r="BCS27" s="25"/>
      <c r="BCT27" s="25"/>
      <c r="BCU27" s="25"/>
      <c r="BCV27" s="25"/>
      <c r="BCW27" s="25"/>
      <c r="BCX27" s="25"/>
      <c r="BCY27" s="25"/>
      <c r="BCZ27" s="25"/>
      <c r="BDA27" s="25"/>
      <c r="BDB27" s="25"/>
      <c r="BDC27" s="25"/>
      <c r="BDD27" s="25"/>
      <c r="BDE27" s="25"/>
      <c r="BDF27" s="25"/>
      <c r="BDG27" s="25"/>
      <c r="BDH27" s="25"/>
      <c r="BDI27" s="25"/>
      <c r="BDJ27" s="25"/>
      <c r="BDK27" s="25"/>
      <c r="BDL27" s="25"/>
      <c r="BDM27" s="25"/>
      <c r="BDN27" s="25"/>
      <c r="BDO27" s="25"/>
      <c r="BDP27" s="25"/>
      <c r="BDQ27" s="25"/>
      <c r="BDR27" s="25"/>
      <c r="BDS27" s="25"/>
      <c r="BDT27" s="25"/>
      <c r="BDU27" s="25"/>
      <c r="BDV27" s="25"/>
      <c r="BDW27" s="25"/>
      <c r="BDX27" s="25"/>
      <c r="BDY27" s="25"/>
      <c r="BDZ27" s="25"/>
      <c r="BEA27" s="25"/>
      <c r="BEB27" s="25"/>
      <c r="BEC27" s="25"/>
      <c r="BED27" s="25"/>
      <c r="BEE27" s="25"/>
      <c r="BEF27" s="25"/>
      <c r="BEG27" s="25"/>
      <c r="BEH27" s="25"/>
      <c r="BEI27" s="25"/>
      <c r="BEJ27" s="25"/>
      <c r="BEK27" s="25"/>
      <c r="BEL27" s="25"/>
      <c r="BEM27" s="25"/>
      <c r="BEN27" s="25"/>
      <c r="BEO27" s="25"/>
      <c r="BEP27" s="25"/>
      <c r="BEQ27" s="25"/>
      <c r="BER27" s="25"/>
      <c r="BES27" s="25"/>
      <c r="BET27" s="25"/>
      <c r="BEU27" s="25"/>
      <c r="BEV27" s="25"/>
      <c r="BEW27" s="25"/>
      <c r="BEX27" s="25"/>
      <c r="BEY27" s="25"/>
      <c r="BEZ27" s="25"/>
      <c r="BFA27" s="25"/>
      <c r="BFB27" s="25"/>
      <c r="BFC27" s="25"/>
      <c r="BFD27" s="25"/>
      <c r="BFE27" s="25"/>
      <c r="BFF27" s="25"/>
      <c r="BFG27" s="25"/>
      <c r="BFH27" s="25"/>
      <c r="BFI27" s="25"/>
      <c r="BFJ27" s="25"/>
      <c r="BFK27" s="25"/>
      <c r="BFL27" s="25"/>
      <c r="BFM27" s="25"/>
      <c r="BFN27" s="25"/>
      <c r="BFO27" s="25"/>
      <c r="BFP27" s="25"/>
      <c r="BFQ27" s="25"/>
      <c r="BFR27" s="25"/>
      <c r="BFS27" s="25"/>
      <c r="BFT27" s="25"/>
      <c r="BFU27" s="25"/>
      <c r="BFV27" s="25"/>
      <c r="BFW27" s="25"/>
      <c r="BFX27" s="25"/>
      <c r="BFY27" s="25"/>
      <c r="BFZ27" s="25"/>
      <c r="BGA27" s="25"/>
      <c r="BGB27" s="25"/>
      <c r="BGC27" s="25"/>
      <c r="BGD27" s="25"/>
      <c r="BGE27" s="25"/>
      <c r="BGF27" s="25"/>
      <c r="BGG27" s="25"/>
      <c r="BGH27" s="25"/>
      <c r="BGI27" s="25"/>
      <c r="BGJ27" s="25"/>
      <c r="BGK27" s="25"/>
      <c r="BGL27" s="25"/>
      <c r="BGM27" s="25"/>
      <c r="BGN27" s="25"/>
      <c r="BGO27" s="25"/>
      <c r="BGP27" s="25"/>
      <c r="BGQ27" s="25"/>
      <c r="BGR27" s="25"/>
      <c r="BGS27" s="25"/>
      <c r="BGT27" s="25"/>
      <c r="BGU27" s="25"/>
      <c r="BGV27" s="25"/>
      <c r="BGW27" s="25"/>
      <c r="BGX27" s="25"/>
      <c r="BGY27" s="25"/>
      <c r="BGZ27" s="25"/>
      <c r="BHA27" s="25"/>
      <c r="BHB27" s="25"/>
      <c r="BHC27" s="25"/>
      <c r="BHD27" s="25"/>
      <c r="BHE27" s="25"/>
      <c r="BHF27" s="25"/>
      <c r="BHG27" s="25"/>
      <c r="BHH27" s="25"/>
      <c r="BHI27" s="25"/>
      <c r="BHJ27" s="25"/>
      <c r="BHK27" s="25"/>
      <c r="BHL27" s="25"/>
      <c r="BHM27" s="25"/>
      <c r="BHN27" s="25"/>
      <c r="BHO27" s="25"/>
      <c r="BHP27" s="25"/>
      <c r="BHQ27" s="25"/>
      <c r="BHR27" s="25"/>
      <c r="BHS27" s="25"/>
      <c r="BHT27" s="25"/>
      <c r="BHU27" s="25"/>
      <c r="BHV27" s="25"/>
      <c r="BHW27" s="25"/>
      <c r="BHX27" s="25"/>
      <c r="BHY27" s="25"/>
      <c r="BHZ27" s="25"/>
      <c r="BIA27" s="25"/>
      <c r="BIB27" s="25"/>
      <c r="BIC27" s="25"/>
      <c r="BID27" s="25"/>
      <c r="BIE27" s="25"/>
      <c r="BIF27" s="25"/>
      <c r="BIG27" s="25"/>
      <c r="BIH27" s="25"/>
      <c r="BII27" s="25"/>
      <c r="BIJ27" s="25"/>
      <c r="BIK27" s="25"/>
      <c r="BIL27" s="25"/>
      <c r="BIM27" s="25"/>
      <c r="BIN27" s="25"/>
      <c r="BIO27" s="25"/>
      <c r="BIP27" s="25"/>
      <c r="BIQ27" s="25"/>
      <c r="BIR27" s="25"/>
      <c r="BIS27" s="25"/>
      <c r="BIT27" s="25"/>
      <c r="BIU27" s="25"/>
      <c r="BIV27" s="25"/>
      <c r="BIW27" s="25"/>
      <c r="BIX27" s="25"/>
      <c r="BIY27" s="25"/>
      <c r="BIZ27" s="25"/>
      <c r="BJA27" s="25"/>
      <c r="BJB27" s="25"/>
      <c r="BJC27" s="25"/>
      <c r="BJD27" s="25"/>
      <c r="BJE27" s="25"/>
      <c r="BJF27" s="25"/>
      <c r="BJG27" s="25"/>
      <c r="BJH27" s="25"/>
      <c r="BJI27" s="25"/>
      <c r="BJJ27" s="25"/>
      <c r="BJK27" s="25"/>
      <c r="BJL27" s="25"/>
      <c r="BJM27" s="25"/>
      <c r="BJN27" s="25"/>
      <c r="BJO27" s="25"/>
      <c r="BJP27" s="25"/>
      <c r="BJQ27" s="25"/>
      <c r="BJR27" s="25"/>
      <c r="BJS27" s="25"/>
      <c r="BJT27" s="25"/>
      <c r="BJU27" s="25"/>
      <c r="BJV27" s="25"/>
      <c r="BJW27" s="25"/>
      <c r="BJX27" s="25"/>
      <c r="BJY27" s="25"/>
      <c r="BJZ27" s="25"/>
      <c r="BKA27" s="25"/>
      <c r="BKB27" s="25"/>
      <c r="BKC27" s="25"/>
      <c r="BKD27" s="25"/>
      <c r="BKE27" s="25"/>
      <c r="BKF27" s="25"/>
      <c r="BKG27" s="25"/>
      <c r="BKH27" s="25"/>
      <c r="BKI27" s="25"/>
      <c r="BKJ27" s="25"/>
      <c r="BKK27" s="25"/>
      <c r="BKL27" s="25"/>
      <c r="BKM27" s="25"/>
      <c r="BKN27" s="25"/>
      <c r="BKO27" s="25"/>
      <c r="BKP27" s="25"/>
      <c r="BKQ27" s="25"/>
      <c r="BKR27" s="25"/>
      <c r="BKS27" s="25"/>
      <c r="BKT27" s="25"/>
      <c r="BKU27" s="25"/>
      <c r="BKV27" s="25"/>
      <c r="BKW27" s="25"/>
      <c r="BKX27" s="25"/>
      <c r="BKY27" s="25"/>
      <c r="BKZ27" s="25"/>
      <c r="BLA27" s="25"/>
      <c r="BLB27" s="25"/>
      <c r="BLC27" s="25"/>
      <c r="BLD27" s="25"/>
      <c r="BLE27" s="25"/>
      <c r="BLF27" s="25"/>
      <c r="BLG27" s="25"/>
      <c r="BLH27" s="25"/>
      <c r="BLI27" s="25"/>
      <c r="BLJ27" s="25"/>
      <c r="BLK27" s="25"/>
      <c r="BLL27" s="25"/>
      <c r="BLM27" s="25"/>
      <c r="BLN27" s="25"/>
      <c r="BLO27" s="25"/>
      <c r="BLP27" s="25"/>
      <c r="BLQ27" s="25"/>
      <c r="BLR27" s="25"/>
      <c r="BLS27" s="25"/>
      <c r="BLT27" s="25"/>
      <c r="BLU27" s="25"/>
      <c r="BLV27" s="25"/>
      <c r="BLW27" s="25"/>
      <c r="BLX27" s="25"/>
      <c r="BLY27" s="25"/>
      <c r="BLZ27" s="25"/>
      <c r="BMA27" s="25"/>
      <c r="BMB27" s="25"/>
      <c r="BMC27" s="25"/>
      <c r="BMD27" s="25"/>
      <c r="BME27" s="25"/>
      <c r="BMF27" s="25"/>
      <c r="BMG27" s="25"/>
      <c r="BMH27" s="25"/>
      <c r="BMI27" s="25"/>
      <c r="BMJ27" s="25"/>
      <c r="BMK27" s="25"/>
      <c r="BML27" s="25"/>
      <c r="BMM27" s="25"/>
      <c r="BMN27" s="25"/>
      <c r="BMO27" s="25"/>
      <c r="BMP27" s="25"/>
      <c r="BMQ27" s="25"/>
      <c r="BMR27" s="25"/>
      <c r="BMS27" s="25"/>
      <c r="BMT27" s="25"/>
      <c r="BMU27" s="25"/>
      <c r="BMV27" s="25"/>
      <c r="BMW27" s="25"/>
      <c r="BMX27" s="25"/>
      <c r="BMY27" s="25"/>
      <c r="BMZ27" s="25"/>
      <c r="BNA27" s="25"/>
      <c r="BNB27" s="25"/>
      <c r="BNC27" s="25"/>
      <c r="BND27" s="25"/>
      <c r="BNE27" s="25"/>
      <c r="BNF27" s="25"/>
      <c r="BNG27" s="25"/>
      <c r="BNH27" s="25"/>
      <c r="BNI27" s="25"/>
      <c r="BNJ27" s="25"/>
      <c r="BNK27" s="25"/>
      <c r="BNL27" s="25"/>
      <c r="BNM27" s="25"/>
      <c r="BNN27" s="25"/>
      <c r="BNO27" s="25"/>
      <c r="BNP27" s="25"/>
      <c r="BNQ27" s="25"/>
      <c r="BNR27" s="25"/>
      <c r="BNS27" s="25"/>
      <c r="BNT27" s="25"/>
      <c r="BNU27" s="25"/>
      <c r="BNV27" s="25"/>
      <c r="BNW27" s="25"/>
      <c r="BNX27" s="25"/>
      <c r="BNY27" s="25"/>
      <c r="BNZ27" s="25"/>
      <c r="BOA27" s="25"/>
      <c r="BOB27" s="25"/>
      <c r="BOC27" s="25"/>
      <c r="BOD27" s="25"/>
      <c r="BOE27" s="25"/>
      <c r="BOF27" s="25"/>
      <c r="BOG27" s="25"/>
      <c r="BOH27" s="25"/>
      <c r="BOI27" s="25"/>
      <c r="BOJ27" s="25"/>
      <c r="BOK27" s="25"/>
      <c r="BOL27" s="25"/>
      <c r="BOM27" s="25"/>
      <c r="BON27" s="25"/>
    </row>
    <row r="28" s="2" customFormat="1" ht="18" customHeight="1" spans="1:1756">
      <c r="A28" s="9">
        <f t="shared" si="19"/>
        <v>43826</v>
      </c>
      <c r="B28" s="11">
        <v>60</v>
      </c>
      <c r="C28" s="10">
        <v>800</v>
      </c>
      <c r="D28" s="10">
        <v>1070</v>
      </c>
      <c r="E28" s="11">
        <v>50</v>
      </c>
      <c r="F28" s="10">
        <v>820</v>
      </c>
      <c r="G28" s="10">
        <v>1020</v>
      </c>
      <c r="H28" s="10">
        <v>4</v>
      </c>
      <c r="I28" s="10">
        <v>900</v>
      </c>
      <c r="J28" s="10">
        <v>980</v>
      </c>
      <c r="K28" s="10">
        <v>11</v>
      </c>
      <c r="L28" s="10">
        <v>1050</v>
      </c>
      <c r="M28" s="10">
        <v>1050</v>
      </c>
      <c r="N28" s="10">
        <v>6</v>
      </c>
      <c r="O28" s="10">
        <v>820</v>
      </c>
      <c r="P28" s="10">
        <v>820</v>
      </c>
      <c r="Q28" s="10">
        <v>131</v>
      </c>
      <c r="R28" s="11"/>
      <c r="S28" s="11"/>
      <c r="T28" s="10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5"/>
      <c r="EY28" s="25"/>
      <c r="EZ28" s="25"/>
      <c r="FA28" s="25"/>
      <c r="FB28" s="25"/>
      <c r="FC28" s="25"/>
      <c r="FD28" s="25"/>
      <c r="FE28" s="25"/>
      <c r="FF28" s="25"/>
      <c r="FG28" s="25"/>
      <c r="FH28" s="25"/>
      <c r="FI28" s="25"/>
      <c r="FJ28" s="25"/>
      <c r="FK28" s="25"/>
      <c r="FL28" s="25"/>
      <c r="FM28" s="25"/>
      <c r="FN28" s="25"/>
      <c r="FO28" s="25"/>
      <c r="FP28" s="25"/>
      <c r="FQ28" s="25"/>
      <c r="FR28" s="25"/>
      <c r="FS28" s="25"/>
      <c r="FT28" s="25"/>
      <c r="FU28" s="25"/>
      <c r="FV28" s="25"/>
      <c r="FW28" s="25"/>
      <c r="FX28" s="25"/>
      <c r="FY28" s="25"/>
      <c r="FZ28" s="25"/>
      <c r="GA28" s="25"/>
      <c r="GB28" s="25"/>
      <c r="GC28" s="25"/>
      <c r="GD28" s="25"/>
      <c r="GE28" s="25"/>
      <c r="GF28" s="25"/>
      <c r="GG28" s="25"/>
      <c r="GH28" s="25"/>
      <c r="GI28" s="25"/>
      <c r="GJ28" s="25"/>
      <c r="GK28" s="25"/>
      <c r="GL28" s="25"/>
      <c r="GM28" s="25"/>
      <c r="GN28" s="25"/>
      <c r="GO28" s="25"/>
      <c r="GP28" s="25"/>
      <c r="GQ28" s="25"/>
      <c r="GR28" s="25"/>
      <c r="GS28" s="25"/>
      <c r="GT28" s="25"/>
      <c r="GU28" s="25"/>
      <c r="GV28" s="25"/>
      <c r="GW28" s="25"/>
      <c r="GX28" s="25"/>
      <c r="GY28" s="25"/>
      <c r="GZ28" s="25"/>
      <c r="HA28" s="25"/>
      <c r="HB28" s="25"/>
      <c r="HC28" s="25"/>
      <c r="HD28" s="25"/>
      <c r="HE28" s="25"/>
      <c r="HF28" s="25"/>
      <c r="HG28" s="25"/>
      <c r="HH28" s="25"/>
      <c r="HI28" s="25"/>
      <c r="HJ28" s="25"/>
      <c r="HK28" s="25"/>
      <c r="HL28" s="25"/>
      <c r="HM28" s="25"/>
      <c r="HN28" s="25"/>
      <c r="HO28" s="25"/>
      <c r="HP28" s="25"/>
      <c r="HQ28" s="25"/>
      <c r="HR28" s="25"/>
      <c r="HS28" s="25"/>
      <c r="HT28" s="25"/>
      <c r="HU28" s="25"/>
      <c r="HV28" s="25"/>
      <c r="HW28" s="25"/>
      <c r="HX28" s="25"/>
      <c r="HY28" s="25"/>
      <c r="HZ28" s="25"/>
      <c r="IA28" s="25"/>
      <c r="IB28" s="25"/>
      <c r="IC28" s="25"/>
      <c r="ID28" s="25"/>
      <c r="IE28" s="25"/>
      <c r="IF28" s="25"/>
      <c r="IG28" s="25"/>
      <c r="IH28" s="25"/>
      <c r="II28" s="25"/>
      <c r="IJ28" s="25"/>
      <c r="IK28" s="25"/>
      <c r="IL28" s="25"/>
      <c r="IM28" s="25"/>
      <c r="IN28" s="25"/>
      <c r="IO28" s="25"/>
      <c r="IP28" s="25"/>
      <c r="IQ28" s="25"/>
      <c r="IR28" s="25"/>
      <c r="IS28" s="25"/>
      <c r="IT28" s="25"/>
      <c r="IU28" s="25"/>
      <c r="IV28" s="25"/>
      <c r="IW28" s="25"/>
      <c r="IX28" s="25"/>
      <c r="IY28" s="25"/>
      <c r="IZ28" s="25"/>
      <c r="JA28" s="25"/>
      <c r="JB28" s="25"/>
      <c r="JC28" s="25"/>
      <c r="JD28" s="25"/>
      <c r="JE28" s="25"/>
      <c r="JF28" s="25"/>
      <c r="JG28" s="25"/>
      <c r="JH28" s="25"/>
      <c r="JI28" s="25"/>
      <c r="JJ28" s="25"/>
      <c r="JK28" s="25"/>
      <c r="JL28" s="25"/>
      <c r="JM28" s="25"/>
      <c r="JN28" s="25"/>
      <c r="JO28" s="25"/>
      <c r="JP28" s="25"/>
      <c r="JQ28" s="25"/>
      <c r="JR28" s="25"/>
      <c r="JS28" s="25"/>
      <c r="JT28" s="25"/>
      <c r="JU28" s="25"/>
      <c r="JV28" s="25"/>
      <c r="JW28" s="25"/>
      <c r="JX28" s="25"/>
      <c r="JY28" s="25"/>
      <c r="JZ28" s="25"/>
      <c r="KA28" s="25"/>
      <c r="KB28" s="25"/>
      <c r="KC28" s="25"/>
      <c r="KD28" s="25"/>
      <c r="KE28" s="25"/>
      <c r="KF28" s="25"/>
      <c r="KG28" s="25"/>
      <c r="KH28" s="25"/>
      <c r="KI28" s="25"/>
      <c r="KJ28" s="25"/>
      <c r="KK28" s="25"/>
      <c r="KL28" s="25"/>
      <c r="KM28" s="25"/>
      <c r="KN28" s="25"/>
      <c r="KO28" s="25"/>
      <c r="KP28" s="25"/>
      <c r="KQ28" s="25"/>
      <c r="KR28" s="25"/>
      <c r="KS28" s="25"/>
      <c r="KT28" s="25"/>
      <c r="KU28" s="25"/>
      <c r="KV28" s="25"/>
      <c r="KW28" s="25"/>
      <c r="KX28" s="25"/>
      <c r="KY28" s="25"/>
      <c r="KZ28" s="25"/>
      <c r="LA28" s="25"/>
      <c r="LB28" s="25"/>
      <c r="LC28" s="25"/>
      <c r="LD28" s="25"/>
      <c r="LE28" s="25"/>
      <c r="LF28" s="25"/>
      <c r="LG28" s="25"/>
      <c r="LH28" s="25"/>
      <c r="LI28" s="25"/>
      <c r="LJ28" s="25"/>
      <c r="LK28" s="25"/>
      <c r="LL28" s="25"/>
      <c r="LM28" s="25"/>
      <c r="LN28" s="25"/>
      <c r="LO28" s="25"/>
      <c r="LP28" s="25"/>
      <c r="LQ28" s="25"/>
      <c r="LR28" s="25"/>
      <c r="LS28" s="25"/>
      <c r="LT28" s="25"/>
      <c r="LU28" s="25"/>
      <c r="LV28" s="25"/>
      <c r="LW28" s="25"/>
      <c r="LX28" s="25"/>
      <c r="LY28" s="25"/>
      <c r="LZ28" s="25"/>
      <c r="MA28" s="25"/>
      <c r="MB28" s="25"/>
      <c r="MC28" s="25"/>
      <c r="MD28" s="25"/>
      <c r="ME28" s="25"/>
      <c r="MF28" s="25"/>
      <c r="MG28" s="25"/>
      <c r="MH28" s="25"/>
      <c r="MI28" s="25"/>
      <c r="MJ28" s="25"/>
      <c r="MK28" s="25"/>
      <c r="ML28" s="25"/>
      <c r="MM28" s="25"/>
      <c r="MN28" s="25"/>
      <c r="MO28" s="25"/>
      <c r="MP28" s="25"/>
      <c r="MQ28" s="25"/>
      <c r="MR28" s="25"/>
      <c r="MS28" s="25"/>
      <c r="MT28" s="25"/>
      <c r="MU28" s="25"/>
      <c r="MV28" s="25"/>
      <c r="MW28" s="25"/>
      <c r="MX28" s="25"/>
      <c r="MY28" s="25"/>
      <c r="MZ28" s="25"/>
      <c r="NA28" s="25"/>
      <c r="NB28" s="25"/>
      <c r="NC28" s="25"/>
      <c r="ND28" s="25"/>
      <c r="NE28" s="25"/>
      <c r="NF28" s="25"/>
      <c r="NG28" s="25"/>
      <c r="NH28" s="25"/>
      <c r="NI28" s="25"/>
      <c r="NJ28" s="25"/>
      <c r="NK28" s="25"/>
      <c r="NL28" s="25"/>
      <c r="NM28" s="25"/>
      <c r="NN28" s="25"/>
      <c r="NO28" s="25"/>
      <c r="NP28" s="25"/>
      <c r="NQ28" s="25"/>
      <c r="NR28" s="25"/>
      <c r="NS28" s="25"/>
      <c r="NT28" s="25"/>
      <c r="NU28" s="25"/>
      <c r="NV28" s="25"/>
      <c r="NW28" s="25"/>
      <c r="NX28" s="25"/>
      <c r="NY28" s="25"/>
      <c r="NZ28" s="25"/>
      <c r="OA28" s="25"/>
      <c r="OB28" s="25"/>
      <c r="OC28" s="25"/>
      <c r="OD28" s="25"/>
      <c r="OE28" s="25"/>
      <c r="OF28" s="25"/>
      <c r="OG28" s="25"/>
      <c r="OH28" s="25"/>
      <c r="OI28" s="25"/>
      <c r="OJ28" s="25"/>
      <c r="OK28" s="25"/>
      <c r="OL28" s="25"/>
      <c r="OM28" s="25"/>
      <c r="ON28" s="25"/>
      <c r="OO28" s="25"/>
      <c r="OP28" s="25"/>
      <c r="OQ28" s="25"/>
      <c r="OR28" s="25"/>
      <c r="OS28" s="25"/>
      <c r="OT28" s="25"/>
      <c r="OU28" s="25"/>
      <c r="OV28" s="25"/>
      <c r="OW28" s="25"/>
      <c r="OX28" s="25"/>
      <c r="OY28" s="25"/>
      <c r="OZ28" s="25"/>
      <c r="PA28" s="25"/>
      <c r="PB28" s="25"/>
      <c r="PC28" s="25"/>
      <c r="PD28" s="25"/>
      <c r="PE28" s="25"/>
      <c r="PF28" s="25"/>
      <c r="PG28" s="25"/>
      <c r="PH28" s="25"/>
      <c r="PI28" s="25"/>
      <c r="PJ28" s="25"/>
      <c r="PK28" s="25"/>
      <c r="PL28" s="25"/>
      <c r="PM28" s="25"/>
      <c r="PN28" s="25"/>
      <c r="PO28" s="25"/>
      <c r="PP28" s="25"/>
      <c r="PQ28" s="25"/>
      <c r="PR28" s="25"/>
      <c r="PS28" s="25"/>
      <c r="PT28" s="25"/>
      <c r="PU28" s="25"/>
      <c r="PV28" s="25"/>
      <c r="PW28" s="25"/>
      <c r="PX28" s="25"/>
      <c r="PY28" s="25"/>
      <c r="PZ28" s="25"/>
      <c r="QA28" s="25"/>
      <c r="QB28" s="25"/>
      <c r="QC28" s="25"/>
      <c r="QD28" s="25"/>
      <c r="QE28" s="25"/>
      <c r="QF28" s="25"/>
      <c r="QG28" s="25"/>
      <c r="QH28" s="25"/>
      <c r="QI28" s="25"/>
      <c r="QJ28" s="25"/>
      <c r="QK28" s="25"/>
      <c r="QL28" s="25"/>
      <c r="QM28" s="25"/>
      <c r="QN28" s="25"/>
      <c r="QO28" s="25"/>
      <c r="QP28" s="25"/>
      <c r="QQ28" s="25"/>
      <c r="QR28" s="25"/>
      <c r="QS28" s="25"/>
      <c r="QT28" s="25"/>
      <c r="QU28" s="25"/>
      <c r="QV28" s="25"/>
      <c r="QW28" s="25"/>
      <c r="QX28" s="25"/>
      <c r="QY28" s="25"/>
      <c r="QZ28" s="25"/>
      <c r="RA28" s="25"/>
      <c r="RB28" s="25"/>
      <c r="RC28" s="25"/>
      <c r="RD28" s="25"/>
      <c r="RE28" s="25"/>
      <c r="RF28" s="25"/>
      <c r="RG28" s="25"/>
      <c r="RH28" s="25"/>
      <c r="RI28" s="25"/>
      <c r="RJ28" s="25"/>
      <c r="RK28" s="25"/>
      <c r="RL28" s="25"/>
      <c r="RM28" s="25"/>
      <c r="RN28" s="25"/>
      <c r="RO28" s="25"/>
      <c r="RP28" s="25"/>
      <c r="RQ28" s="25"/>
      <c r="RR28" s="25"/>
      <c r="RS28" s="25"/>
      <c r="RT28" s="25"/>
      <c r="RU28" s="25"/>
      <c r="RV28" s="25"/>
      <c r="RW28" s="25"/>
      <c r="RX28" s="25"/>
      <c r="RY28" s="25"/>
      <c r="RZ28" s="25"/>
      <c r="SA28" s="25"/>
      <c r="SB28" s="25"/>
      <c r="SC28" s="25"/>
      <c r="SD28" s="25"/>
      <c r="SE28" s="25"/>
      <c r="SF28" s="25"/>
      <c r="SG28" s="25"/>
      <c r="SH28" s="25"/>
      <c r="SI28" s="25"/>
      <c r="SJ28" s="25"/>
      <c r="SK28" s="25"/>
      <c r="SL28" s="25"/>
      <c r="SM28" s="25"/>
      <c r="SN28" s="25"/>
      <c r="SO28" s="25"/>
      <c r="SP28" s="25"/>
      <c r="SQ28" s="25"/>
      <c r="SR28" s="25"/>
      <c r="SS28" s="25"/>
      <c r="ST28" s="25"/>
      <c r="SU28" s="25"/>
      <c r="SV28" s="25"/>
      <c r="SW28" s="25"/>
      <c r="SX28" s="25"/>
      <c r="SY28" s="25"/>
      <c r="SZ28" s="25"/>
      <c r="TA28" s="25"/>
      <c r="TB28" s="25"/>
      <c r="TC28" s="25"/>
      <c r="TD28" s="25"/>
      <c r="TE28" s="25"/>
      <c r="TF28" s="25"/>
      <c r="TG28" s="25"/>
      <c r="TH28" s="25"/>
      <c r="TI28" s="25"/>
      <c r="TJ28" s="25"/>
      <c r="TK28" s="25"/>
      <c r="TL28" s="25"/>
      <c r="TM28" s="25"/>
      <c r="TN28" s="25"/>
      <c r="TO28" s="25"/>
      <c r="TP28" s="25"/>
      <c r="TQ28" s="25"/>
      <c r="TR28" s="25"/>
      <c r="TS28" s="25"/>
      <c r="TT28" s="25"/>
      <c r="TU28" s="25"/>
      <c r="TV28" s="25"/>
      <c r="TW28" s="25"/>
      <c r="TX28" s="25"/>
      <c r="TY28" s="25"/>
      <c r="TZ28" s="25"/>
      <c r="UA28" s="25"/>
      <c r="UB28" s="25"/>
      <c r="UC28" s="25"/>
      <c r="UD28" s="25"/>
      <c r="UE28" s="25"/>
      <c r="UF28" s="25"/>
      <c r="UG28" s="25"/>
      <c r="UH28" s="25"/>
      <c r="UI28" s="25"/>
      <c r="UJ28" s="25"/>
      <c r="UK28" s="25"/>
      <c r="UL28" s="25"/>
      <c r="UM28" s="25"/>
      <c r="UN28" s="25"/>
      <c r="UO28" s="25"/>
      <c r="UP28" s="25"/>
      <c r="UQ28" s="25"/>
      <c r="UR28" s="25"/>
      <c r="US28" s="25"/>
      <c r="UT28" s="25"/>
      <c r="UU28" s="25"/>
      <c r="UV28" s="25"/>
      <c r="UW28" s="25"/>
      <c r="UX28" s="25"/>
      <c r="UY28" s="25"/>
      <c r="UZ28" s="25"/>
      <c r="VA28" s="25"/>
      <c r="VB28" s="25"/>
      <c r="VC28" s="25"/>
      <c r="VD28" s="25"/>
      <c r="VE28" s="25"/>
      <c r="VF28" s="25"/>
      <c r="VG28" s="25"/>
      <c r="VH28" s="25"/>
      <c r="VI28" s="25"/>
      <c r="VJ28" s="25"/>
      <c r="VK28" s="25"/>
      <c r="VL28" s="25"/>
      <c r="VM28" s="25"/>
      <c r="VN28" s="25"/>
      <c r="VO28" s="25"/>
      <c r="VP28" s="25"/>
      <c r="VQ28" s="25"/>
      <c r="VR28" s="25"/>
      <c r="VS28" s="25"/>
      <c r="VT28" s="25"/>
      <c r="VU28" s="25"/>
      <c r="VV28" s="25"/>
      <c r="VW28" s="25"/>
      <c r="VX28" s="25"/>
      <c r="VY28" s="25"/>
      <c r="VZ28" s="25"/>
      <c r="WA28" s="25"/>
      <c r="WB28" s="25"/>
      <c r="WC28" s="25"/>
      <c r="WD28" s="25"/>
      <c r="WE28" s="25"/>
      <c r="WF28" s="25"/>
      <c r="WG28" s="25"/>
      <c r="WH28" s="25"/>
      <c r="WI28" s="25"/>
      <c r="WJ28" s="25"/>
      <c r="WK28" s="25"/>
      <c r="WL28" s="25"/>
      <c r="WM28" s="25"/>
      <c r="WN28" s="25"/>
      <c r="WO28" s="25"/>
      <c r="WP28" s="25"/>
      <c r="WQ28" s="25"/>
      <c r="WR28" s="25"/>
      <c r="WS28" s="25"/>
      <c r="WT28" s="25"/>
      <c r="WU28" s="25"/>
      <c r="WV28" s="25"/>
      <c r="WW28" s="25"/>
      <c r="WX28" s="25"/>
      <c r="WY28" s="25"/>
      <c r="WZ28" s="25"/>
      <c r="XA28" s="25"/>
      <c r="XB28" s="25"/>
      <c r="XC28" s="25"/>
      <c r="XD28" s="25"/>
      <c r="XE28" s="25"/>
      <c r="XF28" s="25"/>
      <c r="XG28" s="25"/>
      <c r="XH28" s="25"/>
      <c r="XI28" s="25"/>
      <c r="XJ28" s="25"/>
      <c r="XK28" s="25"/>
      <c r="XL28" s="25"/>
      <c r="XM28" s="25"/>
      <c r="XN28" s="25"/>
      <c r="XO28" s="25"/>
      <c r="XP28" s="25"/>
      <c r="XQ28" s="25"/>
      <c r="XR28" s="25"/>
      <c r="XS28" s="25"/>
      <c r="XT28" s="25"/>
      <c r="XU28" s="25"/>
      <c r="XV28" s="25"/>
      <c r="XW28" s="25"/>
      <c r="XX28" s="25"/>
      <c r="XY28" s="25"/>
      <c r="XZ28" s="25"/>
      <c r="YA28" s="25"/>
      <c r="YB28" s="25"/>
      <c r="YC28" s="25"/>
      <c r="YD28" s="25"/>
      <c r="YE28" s="25"/>
      <c r="YF28" s="25"/>
      <c r="YG28" s="25"/>
      <c r="YH28" s="25"/>
      <c r="YI28" s="25"/>
      <c r="YJ28" s="25"/>
      <c r="YK28" s="25"/>
      <c r="YL28" s="25"/>
      <c r="YM28" s="25"/>
      <c r="YN28" s="25"/>
      <c r="YO28" s="25"/>
      <c r="YP28" s="25"/>
      <c r="YQ28" s="25"/>
      <c r="YR28" s="25"/>
      <c r="YS28" s="25"/>
      <c r="YT28" s="25"/>
      <c r="YU28" s="25"/>
      <c r="YV28" s="25"/>
      <c r="YW28" s="25"/>
      <c r="YX28" s="25"/>
      <c r="YY28" s="25"/>
      <c r="YZ28" s="25"/>
      <c r="ZA28" s="25"/>
      <c r="ZB28" s="25"/>
      <c r="ZC28" s="25"/>
      <c r="ZD28" s="25"/>
      <c r="ZE28" s="25"/>
      <c r="ZF28" s="25"/>
      <c r="ZG28" s="25"/>
      <c r="ZH28" s="25"/>
      <c r="ZI28" s="25"/>
      <c r="ZJ28" s="25"/>
      <c r="ZK28" s="25"/>
      <c r="ZL28" s="25"/>
      <c r="ZM28" s="25"/>
      <c r="ZN28" s="25"/>
      <c r="ZO28" s="25"/>
      <c r="ZP28" s="25"/>
      <c r="ZQ28" s="25"/>
      <c r="ZR28" s="25"/>
      <c r="ZS28" s="25"/>
      <c r="ZT28" s="25"/>
      <c r="ZU28" s="25"/>
      <c r="ZV28" s="25"/>
      <c r="ZW28" s="25"/>
      <c r="ZX28" s="25"/>
      <c r="ZY28" s="25"/>
      <c r="ZZ28" s="25"/>
      <c r="AAA28" s="25"/>
      <c r="AAB28" s="25"/>
      <c r="AAC28" s="25"/>
      <c r="AAD28" s="25"/>
      <c r="AAE28" s="25"/>
      <c r="AAF28" s="25"/>
      <c r="AAG28" s="25"/>
      <c r="AAH28" s="25"/>
      <c r="AAI28" s="25"/>
      <c r="AAJ28" s="25"/>
      <c r="AAK28" s="25"/>
      <c r="AAL28" s="25"/>
      <c r="AAM28" s="25"/>
      <c r="AAN28" s="25"/>
      <c r="AAO28" s="25"/>
      <c r="AAP28" s="25"/>
      <c r="AAQ28" s="25"/>
      <c r="AAR28" s="25"/>
      <c r="AAS28" s="25"/>
      <c r="AAT28" s="25"/>
      <c r="AAU28" s="25"/>
      <c r="AAV28" s="25"/>
      <c r="AAW28" s="25"/>
      <c r="AAX28" s="25"/>
      <c r="AAY28" s="25"/>
      <c r="AAZ28" s="25"/>
      <c r="ABA28" s="25"/>
      <c r="ABB28" s="25"/>
      <c r="ABC28" s="25"/>
      <c r="ABD28" s="25"/>
      <c r="ABE28" s="25"/>
      <c r="ABF28" s="25"/>
      <c r="ABG28" s="25"/>
      <c r="ABH28" s="25"/>
      <c r="ABI28" s="25"/>
      <c r="ABJ28" s="25"/>
      <c r="ABK28" s="25"/>
      <c r="ABL28" s="25"/>
      <c r="ABM28" s="25"/>
      <c r="ABN28" s="25"/>
      <c r="ABO28" s="25"/>
      <c r="ABP28" s="25"/>
      <c r="ABQ28" s="25"/>
      <c r="ABR28" s="25"/>
      <c r="ABS28" s="25"/>
      <c r="ABT28" s="25"/>
      <c r="ABU28" s="25"/>
      <c r="ABV28" s="25"/>
      <c r="ABW28" s="25"/>
      <c r="ABX28" s="25"/>
      <c r="ABY28" s="25"/>
      <c r="ABZ28" s="25"/>
      <c r="ACA28" s="25"/>
      <c r="ACB28" s="25"/>
      <c r="ACC28" s="25"/>
      <c r="ACD28" s="25"/>
      <c r="ACE28" s="25"/>
      <c r="ACF28" s="25"/>
      <c r="ACG28" s="25"/>
      <c r="ACH28" s="25"/>
      <c r="ACI28" s="25"/>
      <c r="ACJ28" s="25"/>
      <c r="ACK28" s="25"/>
      <c r="ACL28" s="25"/>
      <c r="ACM28" s="25"/>
      <c r="ACN28" s="25"/>
      <c r="ACO28" s="25"/>
      <c r="ACP28" s="25"/>
      <c r="ACQ28" s="25"/>
      <c r="ACR28" s="25"/>
      <c r="ACS28" s="25"/>
      <c r="ACT28" s="25"/>
      <c r="ACU28" s="25"/>
      <c r="ACV28" s="25"/>
      <c r="ACW28" s="25"/>
      <c r="ACX28" s="25"/>
      <c r="ACY28" s="25"/>
      <c r="ACZ28" s="25"/>
      <c r="ADA28" s="25"/>
      <c r="ADB28" s="25"/>
      <c r="ADC28" s="25"/>
      <c r="ADD28" s="25"/>
      <c r="ADE28" s="25"/>
      <c r="ADF28" s="25"/>
      <c r="ADG28" s="25"/>
      <c r="ADH28" s="25"/>
      <c r="ADI28" s="25"/>
      <c r="ADJ28" s="25"/>
      <c r="ADK28" s="25"/>
      <c r="ADL28" s="25"/>
      <c r="ADM28" s="25"/>
      <c r="ADN28" s="25"/>
      <c r="ADO28" s="25"/>
      <c r="ADP28" s="25"/>
      <c r="ADQ28" s="25"/>
      <c r="ADR28" s="25"/>
      <c r="ADS28" s="25"/>
      <c r="ADT28" s="25"/>
      <c r="ADU28" s="25"/>
      <c r="ADV28" s="25"/>
      <c r="ADW28" s="25"/>
      <c r="ADX28" s="25"/>
      <c r="ADY28" s="25"/>
      <c r="ADZ28" s="25"/>
      <c r="AEA28" s="25"/>
      <c r="AEB28" s="25"/>
      <c r="AEC28" s="25"/>
      <c r="AED28" s="25"/>
      <c r="AEE28" s="25"/>
      <c r="AEF28" s="25"/>
      <c r="AEG28" s="25"/>
      <c r="AEH28" s="25"/>
      <c r="AEI28" s="25"/>
      <c r="AEJ28" s="25"/>
      <c r="AEK28" s="25"/>
      <c r="AEL28" s="25"/>
      <c r="AEM28" s="25"/>
      <c r="AEN28" s="25"/>
      <c r="AEO28" s="25"/>
      <c r="AEP28" s="25"/>
      <c r="AEQ28" s="25"/>
      <c r="AER28" s="25"/>
      <c r="AES28" s="25"/>
      <c r="AET28" s="25"/>
      <c r="AEU28" s="25"/>
      <c r="AEV28" s="25"/>
      <c r="AEW28" s="25"/>
      <c r="AEX28" s="25"/>
      <c r="AEY28" s="25"/>
      <c r="AEZ28" s="25"/>
      <c r="AFA28" s="25"/>
      <c r="AFB28" s="25"/>
      <c r="AFC28" s="25"/>
      <c r="AFD28" s="25"/>
      <c r="AFE28" s="25"/>
      <c r="AFF28" s="25"/>
      <c r="AFG28" s="25"/>
      <c r="AFH28" s="25"/>
      <c r="AFI28" s="25"/>
      <c r="AFJ28" s="25"/>
      <c r="AFK28" s="25"/>
      <c r="AFL28" s="25"/>
      <c r="AFM28" s="25"/>
      <c r="AFN28" s="25"/>
      <c r="AFO28" s="25"/>
      <c r="AFP28" s="25"/>
      <c r="AFQ28" s="25"/>
      <c r="AFR28" s="25"/>
      <c r="AFS28" s="25"/>
      <c r="AFT28" s="25"/>
      <c r="AFU28" s="25"/>
      <c r="AFV28" s="25"/>
      <c r="AFW28" s="25"/>
      <c r="AFX28" s="25"/>
      <c r="AFY28" s="25"/>
      <c r="AFZ28" s="25"/>
      <c r="AGA28" s="25"/>
      <c r="AGB28" s="25"/>
      <c r="AGC28" s="25"/>
      <c r="AGD28" s="25"/>
      <c r="AGE28" s="25"/>
      <c r="AGF28" s="25"/>
      <c r="AGG28" s="25"/>
      <c r="AGH28" s="25"/>
      <c r="AGI28" s="25"/>
      <c r="AGJ28" s="25"/>
      <c r="AGK28" s="25"/>
      <c r="AGL28" s="25"/>
      <c r="AGM28" s="25"/>
      <c r="AGN28" s="25"/>
      <c r="AGO28" s="25"/>
      <c r="AGP28" s="25"/>
      <c r="AGQ28" s="25"/>
      <c r="AGR28" s="25"/>
      <c r="AGS28" s="25"/>
      <c r="AGT28" s="25"/>
      <c r="AGU28" s="25"/>
      <c r="AGV28" s="25"/>
      <c r="AGW28" s="25"/>
      <c r="AGX28" s="25"/>
      <c r="AGY28" s="25"/>
      <c r="AGZ28" s="25"/>
      <c r="AHA28" s="25"/>
      <c r="AHB28" s="25"/>
      <c r="AHC28" s="25"/>
      <c r="AHD28" s="25"/>
      <c r="AHE28" s="25"/>
      <c r="AHF28" s="25"/>
      <c r="AHG28" s="25"/>
      <c r="AHH28" s="25"/>
      <c r="AHI28" s="25"/>
      <c r="AHJ28" s="25"/>
      <c r="AHK28" s="25"/>
      <c r="AHL28" s="25"/>
      <c r="AHM28" s="25"/>
      <c r="AHN28" s="25"/>
      <c r="AHO28" s="25"/>
      <c r="AHP28" s="25"/>
      <c r="AHQ28" s="25"/>
      <c r="AHR28" s="25"/>
      <c r="AHS28" s="25"/>
      <c r="AHT28" s="25"/>
      <c r="AHU28" s="25"/>
      <c r="AHV28" s="25"/>
      <c r="AHW28" s="25"/>
      <c r="AHX28" s="25"/>
      <c r="AHY28" s="25"/>
      <c r="AHZ28" s="25"/>
      <c r="AIA28" s="25"/>
      <c r="AIB28" s="25"/>
      <c r="AIC28" s="25"/>
      <c r="AID28" s="25"/>
      <c r="AIE28" s="25"/>
      <c r="AIF28" s="25"/>
      <c r="AIG28" s="25"/>
      <c r="AIH28" s="25"/>
      <c r="AII28" s="25"/>
      <c r="AIJ28" s="25"/>
      <c r="AIK28" s="25"/>
      <c r="AIL28" s="25"/>
      <c r="AIM28" s="25"/>
      <c r="AIN28" s="25"/>
      <c r="AIO28" s="25"/>
      <c r="AIP28" s="25"/>
      <c r="AIQ28" s="25"/>
      <c r="AIR28" s="25"/>
      <c r="AIS28" s="25"/>
      <c r="AIT28" s="25"/>
      <c r="AIU28" s="25"/>
      <c r="AIV28" s="25"/>
      <c r="AIW28" s="25"/>
      <c r="AIX28" s="25"/>
      <c r="AIY28" s="25"/>
      <c r="AIZ28" s="25"/>
      <c r="AJA28" s="25"/>
      <c r="AJB28" s="25"/>
      <c r="AJC28" s="25"/>
      <c r="AJD28" s="25"/>
      <c r="AJE28" s="25"/>
      <c r="AJF28" s="25"/>
      <c r="AJG28" s="25"/>
      <c r="AJH28" s="25"/>
      <c r="AJI28" s="25"/>
      <c r="AJJ28" s="25"/>
      <c r="AJK28" s="25"/>
      <c r="AJL28" s="25"/>
      <c r="AJM28" s="25"/>
      <c r="AJN28" s="25"/>
      <c r="AJO28" s="25"/>
      <c r="AJP28" s="25"/>
      <c r="AJQ28" s="25"/>
      <c r="AJR28" s="25"/>
      <c r="AJS28" s="25"/>
      <c r="AJT28" s="25"/>
      <c r="AJU28" s="25"/>
      <c r="AJV28" s="25"/>
      <c r="AJW28" s="25"/>
      <c r="AJX28" s="25"/>
      <c r="AJY28" s="25"/>
      <c r="AJZ28" s="25"/>
      <c r="AKA28" s="25"/>
      <c r="AKB28" s="25"/>
      <c r="AKC28" s="25"/>
      <c r="AKD28" s="25"/>
      <c r="AKE28" s="25"/>
      <c r="AKF28" s="25"/>
      <c r="AKG28" s="25"/>
      <c r="AKH28" s="25"/>
      <c r="AKI28" s="25"/>
      <c r="AKJ28" s="25"/>
      <c r="AKK28" s="25"/>
      <c r="AKL28" s="25"/>
      <c r="AKM28" s="25"/>
      <c r="AKN28" s="25"/>
      <c r="AKO28" s="25"/>
      <c r="AKP28" s="25"/>
      <c r="AKQ28" s="25"/>
      <c r="AKR28" s="25"/>
      <c r="AKS28" s="25"/>
      <c r="AKT28" s="25"/>
      <c r="AKU28" s="25"/>
      <c r="AKV28" s="25"/>
      <c r="AKW28" s="25"/>
      <c r="AKX28" s="25"/>
      <c r="AKY28" s="25"/>
      <c r="AKZ28" s="25"/>
      <c r="ALA28" s="25"/>
      <c r="ALB28" s="25"/>
      <c r="ALC28" s="25"/>
      <c r="ALD28" s="25"/>
      <c r="ALE28" s="25"/>
      <c r="ALF28" s="25"/>
      <c r="ALG28" s="25"/>
      <c r="ALH28" s="25"/>
      <c r="ALI28" s="25"/>
      <c r="ALJ28" s="25"/>
      <c r="ALK28" s="25"/>
      <c r="ALL28" s="25"/>
      <c r="ALM28" s="25"/>
      <c r="ALN28" s="25"/>
      <c r="ALO28" s="25"/>
      <c r="ALP28" s="25"/>
      <c r="ALQ28" s="25"/>
      <c r="ALR28" s="25"/>
      <c r="ALS28" s="25"/>
      <c r="ALT28" s="25"/>
      <c r="ALU28" s="25"/>
      <c r="ALV28" s="25"/>
      <c r="ALW28" s="25"/>
      <c r="ALX28" s="25"/>
      <c r="ALY28" s="25"/>
      <c r="ALZ28" s="25"/>
      <c r="AMA28" s="25"/>
      <c r="AMB28" s="25"/>
      <c r="AMC28" s="25"/>
      <c r="AMD28" s="25"/>
      <c r="AME28" s="25"/>
      <c r="AMF28" s="25"/>
      <c r="AMG28" s="25"/>
      <c r="AMH28" s="25"/>
      <c r="AMI28" s="25"/>
      <c r="AMJ28" s="25"/>
      <c r="AMK28" s="25"/>
      <c r="AML28" s="25"/>
      <c r="AMM28" s="25"/>
      <c r="AMN28" s="25"/>
      <c r="AMO28" s="25"/>
      <c r="AMP28" s="25"/>
      <c r="AMQ28" s="25"/>
      <c r="AMR28" s="25"/>
      <c r="AMS28" s="25"/>
      <c r="AMT28" s="25"/>
      <c r="AMU28" s="25"/>
      <c r="AMV28" s="25"/>
      <c r="AMW28" s="25"/>
      <c r="AMX28" s="25"/>
      <c r="AMY28" s="25"/>
      <c r="AMZ28" s="25"/>
      <c r="ANA28" s="25"/>
      <c r="ANB28" s="25"/>
      <c r="ANC28" s="25"/>
      <c r="AND28" s="25"/>
      <c r="ANE28" s="25"/>
      <c r="ANF28" s="25"/>
      <c r="ANG28" s="25"/>
      <c r="ANH28" s="25"/>
      <c r="ANI28" s="25"/>
      <c r="ANJ28" s="25"/>
      <c r="ANK28" s="25"/>
      <c r="ANL28" s="25"/>
      <c r="ANM28" s="25"/>
      <c r="ANN28" s="25"/>
      <c r="ANO28" s="25"/>
      <c r="ANP28" s="25"/>
      <c r="ANQ28" s="25"/>
      <c r="ANR28" s="25"/>
      <c r="ANS28" s="25"/>
      <c r="ANT28" s="25"/>
      <c r="ANU28" s="25"/>
      <c r="ANV28" s="25"/>
      <c r="ANW28" s="25"/>
      <c r="ANX28" s="25"/>
      <c r="ANY28" s="25"/>
      <c r="ANZ28" s="25"/>
      <c r="AOA28" s="25"/>
      <c r="AOB28" s="25"/>
      <c r="AOC28" s="25"/>
      <c r="AOD28" s="25"/>
      <c r="AOE28" s="25"/>
      <c r="AOF28" s="25"/>
      <c r="AOG28" s="25"/>
      <c r="AOH28" s="25"/>
      <c r="AOI28" s="25"/>
      <c r="AOJ28" s="25"/>
      <c r="AOK28" s="25"/>
      <c r="AOL28" s="25"/>
      <c r="AOM28" s="25"/>
      <c r="AON28" s="25"/>
      <c r="AOO28" s="25"/>
      <c r="AOP28" s="25"/>
      <c r="AOQ28" s="25"/>
      <c r="AOR28" s="25"/>
      <c r="AOS28" s="25"/>
      <c r="AOT28" s="25"/>
      <c r="AOU28" s="25"/>
      <c r="AOV28" s="25"/>
      <c r="AOW28" s="25"/>
      <c r="AOX28" s="25"/>
      <c r="AOY28" s="25"/>
      <c r="AOZ28" s="25"/>
      <c r="APA28" s="25"/>
      <c r="APB28" s="25"/>
      <c r="APC28" s="25"/>
      <c r="APD28" s="25"/>
      <c r="APE28" s="25"/>
      <c r="APF28" s="25"/>
      <c r="APG28" s="25"/>
      <c r="APH28" s="25"/>
      <c r="API28" s="25"/>
      <c r="APJ28" s="25"/>
      <c r="APK28" s="25"/>
      <c r="APL28" s="25"/>
      <c r="APM28" s="25"/>
      <c r="APN28" s="25"/>
      <c r="APO28" s="25"/>
      <c r="APP28" s="25"/>
      <c r="APQ28" s="25"/>
      <c r="APR28" s="25"/>
      <c r="APS28" s="25"/>
      <c r="APT28" s="25"/>
      <c r="APU28" s="25"/>
      <c r="APV28" s="25"/>
      <c r="APW28" s="25"/>
      <c r="APX28" s="25"/>
      <c r="APY28" s="25"/>
      <c r="APZ28" s="25"/>
      <c r="AQA28" s="25"/>
      <c r="AQB28" s="25"/>
      <c r="AQC28" s="25"/>
      <c r="AQD28" s="25"/>
      <c r="AQE28" s="25"/>
      <c r="AQF28" s="25"/>
      <c r="AQG28" s="25"/>
      <c r="AQH28" s="25"/>
      <c r="AQI28" s="25"/>
      <c r="AQJ28" s="25"/>
      <c r="AQK28" s="25"/>
      <c r="AQL28" s="25"/>
      <c r="AQM28" s="25"/>
      <c r="AQN28" s="25"/>
      <c r="AQO28" s="25"/>
      <c r="AQP28" s="25"/>
      <c r="AQQ28" s="25"/>
      <c r="AQR28" s="25"/>
      <c r="AQS28" s="25"/>
      <c r="AQT28" s="25"/>
      <c r="AQU28" s="25"/>
      <c r="AQV28" s="25"/>
      <c r="AQW28" s="25"/>
      <c r="AQX28" s="25"/>
      <c r="AQY28" s="25"/>
      <c r="AQZ28" s="25"/>
      <c r="ARA28" s="25"/>
      <c r="ARB28" s="25"/>
      <c r="ARC28" s="25"/>
      <c r="ARD28" s="25"/>
      <c r="ARE28" s="25"/>
      <c r="ARF28" s="25"/>
      <c r="ARG28" s="25"/>
      <c r="ARH28" s="25"/>
      <c r="ARI28" s="25"/>
      <c r="ARJ28" s="25"/>
      <c r="ARK28" s="25"/>
      <c r="ARL28" s="25"/>
      <c r="ARM28" s="25"/>
      <c r="ARN28" s="25"/>
      <c r="ARO28" s="25"/>
      <c r="ARP28" s="25"/>
      <c r="ARQ28" s="25"/>
      <c r="ARR28" s="25"/>
      <c r="ARS28" s="25"/>
      <c r="ART28" s="25"/>
      <c r="ARU28" s="25"/>
      <c r="ARV28" s="25"/>
      <c r="ARW28" s="25"/>
      <c r="ARX28" s="25"/>
      <c r="ARY28" s="25"/>
      <c r="ARZ28" s="25"/>
      <c r="ASA28" s="25"/>
      <c r="ASB28" s="25"/>
      <c r="ASC28" s="25"/>
      <c r="ASD28" s="25"/>
      <c r="ASE28" s="25"/>
      <c r="ASF28" s="25"/>
      <c r="ASG28" s="25"/>
      <c r="ASH28" s="25"/>
      <c r="ASI28" s="25"/>
      <c r="ASJ28" s="25"/>
      <c r="ASK28" s="25"/>
      <c r="ASL28" s="25"/>
      <c r="ASM28" s="25"/>
      <c r="ASN28" s="25"/>
      <c r="ASO28" s="25"/>
      <c r="ASP28" s="25"/>
      <c r="ASQ28" s="25"/>
      <c r="ASR28" s="25"/>
      <c r="ASS28" s="25"/>
      <c r="AST28" s="25"/>
      <c r="ASU28" s="25"/>
      <c r="ASV28" s="25"/>
      <c r="ASW28" s="25"/>
      <c r="ASX28" s="25"/>
      <c r="ASY28" s="25"/>
      <c r="ASZ28" s="25"/>
      <c r="ATA28" s="25"/>
      <c r="ATB28" s="25"/>
      <c r="ATC28" s="25"/>
      <c r="ATD28" s="25"/>
      <c r="ATE28" s="25"/>
      <c r="ATF28" s="25"/>
      <c r="ATG28" s="25"/>
      <c r="ATH28" s="25"/>
      <c r="ATI28" s="25"/>
      <c r="ATJ28" s="25"/>
      <c r="ATK28" s="25"/>
      <c r="ATL28" s="25"/>
      <c r="ATM28" s="25"/>
      <c r="ATN28" s="25"/>
      <c r="ATO28" s="25"/>
      <c r="ATP28" s="25"/>
      <c r="ATQ28" s="25"/>
      <c r="ATR28" s="25"/>
      <c r="ATS28" s="25"/>
      <c r="ATT28" s="25"/>
      <c r="ATU28" s="25"/>
      <c r="ATV28" s="25"/>
      <c r="ATW28" s="25"/>
      <c r="ATX28" s="25"/>
      <c r="ATY28" s="25"/>
      <c r="ATZ28" s="25"/>
      <c r="AUA28" s="25"/>
      <c r="AUB28" s="25"/>
      <c r="AUC28" s="25"/>
      <c r="AUD28" s="25"/>
      <c r="AUE28" s="25"/>
      <c r="AUF28" s="25"/>
      <c r="AUG28" s="25"/>
      <c r="AUH28" s="25"/>
      <c r="AUI28" s="25"/>
      <c r="AUJ28" s="25"/>
      <c r="AUK28" s="25"/>
      <c r="AUL28" s="25"/>
      <c r="AUM28" s="25"/>
      <c r="AUN28" s="25"/>
      <c r="AUO28" s="25"/>
      <c r="AUP28" s="25"/>
      <c r="AUQ28" s="25"/>
      <c r="AUR28" s="25"/>
      <c r="AUS28" s="25"/>
      <c r="AUT28" s="25"/>
      <c r="AUU28" s="25"/>
      <c r="AUV28" s="25"/>
      <c r="AUW28" s="25"/>
      <c r="AUX28" s="25"/>
      <c r="AUY28" s="25"/>
      <c r="AUZ28" s="25"/>
      <c r="AVA28" s="25"/>
      <c r="AVB28" s="25"/>
      <c r="AVC28" s="25"/>
      <c r="AVD28" s="25"/>
      <c r="AVE28" s="25"/>
      <c r="AVF28" s="25"/>
      <c r="AVG28" s="25"/>
      <c r="AVH28" s="25"/>
      <c r="AVI28" s="25"/>
      <c r="AVJ28" s="25"/>
      <c r="AVK28" s="25"/>
      <c r="AVL28" s="25"/>
      <c r="AVM28" s="25"/>
      <c r="AVN28" s="25"/>
      <c r="AVO28" s="25"/>
      <c r="AVP28" s="25"/>
      <c r="AVQ28" s="25"/>
      <c r="AVR28" s="25"/>
      <c r="AVS28" s="25"/>
      <c r="AVT28" s="25"/>
      <c r="AVU28" s="25"/>
      <c r="AVV28" s="25"/>
      <c r="AVW28" s="25"/>
      <c r="AVX28" s="25"/>
      <c r="AVY28" s="25"/>
      <c r="AVZ28" s="25"/>
      <c r="AWA28" s="25"/>
      <c r="AWB28" s="25"/>
      <c r="AWC28" s="25"/>
      <c r="AWD28" s="25"/>
      <c r="AWE28" s="25"/>
      <c r="AWF28" s="25"/>
      <c r="AWG28" s="25"/>
      <c r="AWH28" s="25"/>
      <c r="AWI28" s="25"/>
      <c r="AWJ28" s="25"/>
      <c r="AWK28" s="25"/>
      <c r="AWL28" s="25"/>
      <c r="AWM28" s="25"/>
      <c r="AWN28" s="25"/>
      <c r="AWO28" s="25"/>
      <c r="AWP28" s="25"/>
      <c r="AWQ28" s="25"/>
      <c r="AWR28" s="25"/>
      <c r="AWS28" s="25"/>
      <c r="AWT28" s="25"/>
      <c r="AWU28" s="25"/>
      <c r="AWV28" s="25"/>
      <c r="AWW28" s="25"/>
      <c r="AWX28" s="25"/>
      <c r="AWY28" s="25"/>
      <c r="AWZ28" s="25"/>
      <c r="AXA28" s="25"/>
      <c r="AXB28" s="25"/>
      <c r="AXC28" s="25"/>
      <c r="AXD28" s="25"/>
      <c r="AXE28" s="25"/>
      <c r="AXF28" s="25"/>
      <c r="AXG28" s="25"/>
      <c r="AXH28" s="25"/>
      <c r="AXI28" s="25"/>
      <c r="AXJ28" s="25"/>
      <c r="AXK28" s="25"/>
      <c r="AXL28" s="25"/>
      <c r="AXM28" s="25"/>
      <c r="AXN28" s="25"/>
      <c r="AXO28" s="25"/>
      <c r="AXP28" s="25"/>
      <c r="AXQ28" s="25"/>
      <c r="AXR28" s="25"/>
      <c r="AXS28" s="25"/>
      <c r="AXT28" s="25"/>
      <c r="AXU28" s="25"/>
      <c r="AXV28" s="25"/>
      <c r="AXW28" s="25"/>
      <c r="AXX28" s="25"/>
      <c r="AXY28" s="25"/>
      <c r="AXZ28" s="25"/>
      <c r="AYA28" s="25"/>
      <c r="AYB28" s="25"/>
      <c r="AYC28" s="25"/>
      <c r="AYD28" s="25"/>
      <c r="AYE28" s="25"/>
      <c r="AYF28" s="25"/>
      <c r="AYG28" s="25"/>
      <c r="AYH28" s="25"/>
      <c r="AYI28" s="25"/>
      <c r="AYJ28" s="25"/>
      <c r="AYK28" s="25"/>
      <c r="AYL28" s="25"/>
      <c r="AYM28" s="25"/>
      <c r="AYN28" s="25"/>
      <c r="AYO28" s="25"/>
      <c r="AYP28" s="25"/>
      <c r="AYQ28" s="25"/>
      <c r="AYR28" s="25"/>
      <c r="AYS28" s="25"/>
      <c r="AYT28" s="25"/>
      <c r="AYU28" s="25"/>
      <c r="AYV28" s="25"/>
      <c r="AYW28" s="25"/>
      <c r="AYX28" s="25"/>
      <c r="AYY28" s="25"/>
      <c r="AYZ28" s="25"/>
      <c r="AZA28" s="25"/>
      <c r="AZB28" s="25"/>
      <c r="AZC28" s="25"/>
      <c r="AZD28" s="25"/>
      <c r="AZE28" s="25"/>
      <c r="AZF28" s="25"/>
      <c r="AZG28" s="25"/>
      <c r="AZH28" s="25"/>
      <c r="AZI28" s="25"/>
      <c r="AZJ28" s="25"/>
      <c r="AZK28" s="25"/>
      <c r="AZL28" s="25"/>
      <c r="AZM28" s="25"/>
      <c r="AZN28" s="25"/>
      <c r="AZO28" s="25"/>
      <c r="AZP28" s="25"/>
      <c r="AZQ28" s="25"/>
      <c r="AZR28" s="25"/>
      <c r="AZS28" s="25"/>
      <c r="AZT28" s="25"/>
      <c r="AZU28" s="25"/>
      <c r="AZV28" s="25"/>
      <c r="AZW28" s="25"/>
      <c r="AZX28" s="25"/>
      <c r="AZY28" s="25"/>
      <c r="AZZ28" s="25"/>
      <c r="BAA28" s="25"/>
      <c r="BAB28" s="25"/>
      <c r="BAC28" s="25"/>
      <c r="BAD28" s="25"/>
      <c r="BAE28" s="25"/>
      <c r="BAF28" s="25"/>
      <c r="BAG28" s="25"/>
      <c r="BAH28" s="25"/>
      <c r="BAI28" s="25"/>
      <c r="BAJ28" s="25"/>
      <c r="BAK28" s="25"/>
      <c r="BAL28" s="25"/>
      <c r="BAM28" s="25"/>
      <c r="BAN28" s="25"/>
      <c r="BAO28" s="25"/>
      <c r="BAP28" s="25"/>
      <c r="BAQ28" s="25"/>
      <c r="BAR28" s="25"/>
      <c r="BAS28" s="25"/>
      <c r="BAT28" s="25"/>
      <c r="BAU28" s="25"/>
      <c r="BAV28" s="25"/>
      <c r="BAW28" s="25"/>
      <c r="BAX28" s="25"/>
      <c r="BAY28" s="25"/>
      <c r="BAZ28" s="25"/>
      <c r="BBA28" s="25"/>
      <c r="BBB28" s="25"/>
      <c r="BBC28" s="25"/>
      <c r="BBD28" s="25"/>
      <c r="BBE28" s="25"/>
      <c r="BBF28" s="25"/>
      <c r="BBG28" s="25"/>
      <c r="BBH28" s="25"/>
      <c r="BBI28" s="25"/>
      <c r="BBJ28" s="25"/>
      <c r="BBK28" s="25"/>
      <c r="BBL28" s="25"/>
      <c r="BBM28" s="25"/>
      <c r="BBN28" s="25"/>
      <c r="BBO28" s="25"/>
      <c r="BBP28" s="25"/>
      <c r="BBQ28" s="25"/>
      <c r="BBR28" s="25"/>
      <c r="BBS28" s="25"/>
      <c r="BBT28" s="25"/>
      <c r="BBU28" s="25"/>
      <c r="BBV28" s="25"/>
      <c r="BBW28" s="25"/>
      <c r="BBX28" s="25"/>
      <c r="BBY28" s="25"/>
      <c r="BBZ28" s="25"/>
      <c r="BCA28" s="25"/>
      <c r="BCB28" s="25"/>
      <c r="BCC28" s="25"/>
      <c r="BCD28" s="25"/>
      <c r="BCE28" s="25"/>
      <c r="BCF28" s="25"/>
      <c r="BCG28" s="25"/>
      <c r="BCH28" s="25"/>
      <c r="BCI28" s="25"/>
      <c r="BCJ28" s="25"/>
      <c r="BCK28" s="25"/>
      <c r="BCL28" s="25"/>
      <c r="BCM28" s="25"/>
      <c r="BCN28" s="25"/>
      <c r="BCO28" s="25"/>
      <c r="BCP28" s="25"/>
      <c r="BCQ28" s="25"/>
      <c r="BCR28" s="25"/>
      <c r="BCS28" s="25"/>
      <c r="BCT28" s="25"/>
      <c r="BCU28" s="25"/>
      <c r="BCV28" s="25"/>
      <c r="BCW28" s="25"/>
      <c r="BCX28" s="25"/>
      <c r="BCY28" s="25"/>
      <c r="BCZ28" s="25"/>
      <c r="BDA28" s="25"/>
      <c r="BDB28" s="25"/>
      <c r="BDC28" s="25"/>
      <c r="BDD28" s="25"/>
      <c r="BDE28" s="25"/>
      <c r="BDF28" s="25"/>
      <c r="BDG28" s="25"/>
      <c r="BDH28" s="25"/>
      <c r="BDI28" s="25"/>
      <c r="BDJ28" s="25"/>
      <c r="BDK28" s="25"/>
      <c r="BDL28" s="25"/>
      <c r="BDM28" s="25"/>
      <c r="BDN28" s="25"/>
      <c r="BDO28" s="25"/>
      <c r="BDP28" s="25"/>
      <c r="BDQ28" s="25"/>
      <c r="BDR28" s="25"/>
      <c r="BDS28" s="25"/>
      <c r="BDT28" s="25"/>
      <c r="BDU28" s="25"/>
      <c r="BDV28" s="25"/>
      <c r="BDW28" s="25"/>
      <c r="BDX28" s="25"/>
      <c r="BDY28" s="25"/>
      <c r="BDZ28" s="25"/>
      <c r="BEA28" s="25"/>
      <c r="BEB28" s="25"/>
      <c r="BEC28" s="25"/>
      <c r="BED28" s="25"/>
      <c r="BEE28" s="25"/>
      <c r="BEF28" s="25"/>
      <c r="BEG28" s="25"/>
      <c r="BEH28" s="25"/>
      <c r="BEI28" s="25"/>
      <c r="BEJ28" s="25"/>
      <c r="BEK28" s="25"/>
      <c r="BEL28" s="25"/>
      <c r="BEM28" s="25"/>
      <c r="BEN28" s="25"/>
      <c r="BEO28" s="25"/>
      <c r="BEP28" s="25"/>
      <c r="BEQ28" s="25"/>
      <c r="BER28" s="25"/>
      <c r="BES28" s="25"/>
      <c r="BET28" s="25"/>
      <c r="BEU28" s="25"/>
      <c r="BEV28" s="25"/>
      <c r="BEW28" s="25"/>
      <c r="BEX28" s="25"/>
      <c r="BEY28" s="25"/>
      <c r="BEZ28" s="25"/>
      <c r="BFA28" s="25"/>
      <c r="BFB28" s="25"/>
      <c r="BFC28" s="25"/>
      <c r="BFD28" s="25"/>
      <c r="BFE28" s="25"/>
      <c r="BFF28" s="25"/>
      <c r="BFG28" s="25"/>
      <c r="BFH28" s="25"/>
      <c r="BFI28" s="25"/>
      <c r="BFJ28" s="25"/>
      <c r="BFK28" s="25"/>
      <c r="BFL28" s="25"/>
      <c r="BFM28" s="25"/>
      <c r="BFN28" s="25"/>
      <c r="BFO28" s="25"/>
      <c r="BFP28" s="25"/>
      <c r="BFQ28" s="25"/>
      <c r="BFR28" s="25"/>
      <c r="BFS28" s="25"/>
      <c r="BFT28" s="25"/>
      <c r="BFU28" s="25"/>
      <c r="BFV28" s="25"/>
      <c r="BFW28" s="25"/>
      <c r="BFX28" s="25"/>
      <c r="BFY28" s="25"/>
      <c r="BFZ28" s="25"/>
      <c r="BGA28" s="25"/>
      <c r="BGB28" s="25"/>
      <c r="BGC28" s="25"/>
      <c r="BGD28" s="25"/>
      <c r="BGE28" s="25"/>
      <c r="BGF28" s="25"/>
      <c r="BGG28" s="25"/>
      <c r="BGH28" s="25"/>
      <c r="BGI28" s="25"/>
      <c r="BGJ28" s="25"/>
      <c r="BGK28" s="25"/>
      <c r="BGL28" s="25"/>
      <c r="BGM28" s="25"/>
      <c r="BGN28" s="25"/>
      <c r="BGO28" s="25"/>
      <c r="BGP28" s="25"/>
      <c r="BGQ28" s="25"/>
      <c r="BGR28" s="25"/>
      <c r="BGS28" s="25"/>
      <c r="BGT28" s="25"/>
      <c r="BGU28" s="25"/>
      <c r="BGV28" s="25"/>
      <c r="BGW28" s="25"/>
      <c r="BGX28" s="25"/>
      <c r="BGY28" s="25"/>
      <c r="BGZ28" s="25"/>
      <c r="BHA28" s="25"/>
      <c r="BHB28" s="25"/>
      <c r="BHC28" s="25"/>
      <c r="BHD28" s="25"/>
      <c r="BHE28" s="25"/>
      <c r="BHF28" s="25"/>
      <c r="BHG28" s="25"/>
      <c r="BHH28" s="25"/>
      <c r="BHI28" s="25"/>
      <c r="BHJ28" s="25"/>
      <c r="BHK28" s="25"/>
      <c r="BHL28" s="25"/>
      <c r="BHM28" s="25"/>
      <c r="BHN28" s="25"/>
      <c r="BHO28" s="25"/>
      <c r="BHP28" s="25"/>
      <c r="BHQ28" s="25"/>
      <c r="BHR28" s="25"/>
      <c r="BHS28" s="25"/>
      <c r="BHT28" s="25"/>
      <c r="BHU28" s="25"/>
      <c r="BHV28" s="25"/>
      <c r="BHW28" s="25"/>
      <c r="BHX28" s="25"/>
      <c r="BHY28" s="25"/>
      <c r="BHZ28" s="25"/>
      <c r="BIA28" s="25"/>
      <c r="BIB28" s="25"/>
      <c r="BIC28" s="25"/>
      <c r="BID28" s="25"/>
      <c r="BIE28" s="25"/>
      <c r="BIF28" s="25"/>
      <c r="BIG28" s="25"/>
      <c r="BIH28" s="25"/>
      <c r="BII28" s="25"/>
      <c r="BIJ28" s="25"/>
      <c r="BIK28" s="25"/>
      <c r="BIL28" s="25"/>
      <c r="BIM28" s="25"/>
      <c r="BIN28" s="25"/>
      <c r="BIO28" s="25"/>
      <c r="BIP28" s="25"/>
      <c r="BIQ28" s="25"/>
      <c r="BIR28" s="25"/>
      <c r="BIS28" s="25"/>
      <c r="BIT28" s="25"/>
      <c r="BIU28" s="25"/>
      <c r="BIV28" s="25"/>
      <c r="BIW28" s="25"/>
      <c r="BIX28" s="25"/>
      <c r="BIY28" s="25"/>
      <c r="BIZ28" s="25"/>
      <c r="BJA28" s="25"/>
      <c r="BJB28" s="25"/>
      <c r="BJC28" s="25"/>
      <c r="BJD28" s="25"/>
      <c r="BJE28" s="25"/>
      <c r="BJF28" s="25"/>
      <c r="BJG28" s="25"/>
      <c r="BJH28" s="25"/>
      <c r="BJI28" s="25"/>
      <c r="BJJ28" s="25"/>
      <c r="BJK28" s="25"/>
      <c r="BJL28" s="25"/>
      <c r="BJM28" s="25"/>
      <c r="BJN28" s="25"/>
      <c r="BJO28" s="25"/>
      <c r="BJP28" s="25"/>
      <c r="BJQ28" s="25"/>
      <c r="BJR28" s="25"/>
      <c r="BJS28" s="25"/>
      <c r="BJT28" s="25"/>
      <c r="BJU28" s="25"/>
      <c r="BJV28" s="25"/>
      <c r="BJW28" s="25"/>
      <c r="BJX28" s="25"/>
      <c r="BJY28" s="25"/>
      <c r="BJZ28" s="25"/>
      <c r="BKA28" s="25"/>
      <c r="BKB28" s="25"/>
      <c r="BKC28" s="25"/>
      <c r="BKD28" s="25"/>
      <c r="BKE28" s="25"/>
      <c r="BKF28" s="25"/>
      <c r="BKG28" s="25"/>
      <c r="BKH28" s="25"/>
      <c r="BKI28" s="25"/>
      <c r="BKJ28" s="25"/>
      <c r="BKK28" s="25"/>
      <c r="BKL28" s="25"/>
      <c r="BKM28" s="25"/>
      <c r="BKN28" s="25"/>
      <c r="BKO28" s="25"/>
      <c r="BKP28" s="25"/>
      <c r="BKQ28" s="25"/>
      <c r="BKR28" s="25"/>
      <c r="BKS28" s="25"/>
      <c r="BKT28" s="25"/>
      <c r="BKU28" s="25"/>
      <c r="BKV28" s="25"/>
      <c r="BKW28" s="25"/>
      <c r="BKX28" s="25"/>
      <c r="BKY28" s="25"/>
      <c r="BKZ28" s="25"/>
      <c r="BLA28" s="25"/>
      <c r="BLB28" s="25"/>
      <c r="BLC28" s="25"/>
      <c r="BLD28" s="25"/>
      <c r="BLE28" s="25"/>
      <c r="BLF28" s="25"/>
      <c r="BLG28" s="25"/>
      <c r="BLH28" s="25"/>
      <c r="BLI28" s="25"/>
      <c r="BLJ28" s="25"/>
      <c r="BLK28" s="25"/>
      <c r="BLL28" s="25"/>
      <c r="BLM28" s="25"/>
      <c r="BLN28" s="25"/>
      <c r="BLO28" s="25"/>
      <c r="BLP28" s="25"/>
      <c r="BLQ28" s="25"/>
      <c r="BLR28" s="25"/>
      <c r="BLS28" s="25"/>
      <c r="BLT28" s="25"/>
      <c r="BLU28" s="25"/>
      <c r="BLV28" s="25"/>
      <c r="BLW28" s="25"/>
      <c r="BLX28" s="25"/>
      <c r="BLY28" s="25"/>
      <c r="BLZ28" s="25"/>
      <c r="BMA28" s="25"/>
      <c r="BMB28" s="25"/>
      <c r="BMC28" s="25"/>
      <c r="BMD28" s="25"/>
      <c r="BME28" s="25"/>
      <c r="BMF28" s="25"/>
      <c r="BMG28" s="25"/>
      <c r="BMH28" s="25"/>
      <c r="BMI28" s="25"/>
      <c r="BMJ28" s="25"/>
      <c r="BMK28" s="25"/>
      <c r="BML28" s="25"/>
      <c r="BMM28" s="25"/>
      <c r="BMN28" s="25"/>
      <c r="BMO28" s="25"/>
      <c r="BMP28" s="25"/>
      <c r="BMQ28" s="25"/>
      <c r="BMR28" s="25"/>
      <c r="BMS28" s="25"/>
      <c r="BMT28" s="25"/>
      <c r="BMU28" s="25"/>
      <c r="BMV28" s="25"/>
      <c r="BMW28" s="25"/>
      <c r="BMX28" s="25"/>
      <c r="BMY28" s="25"/>
      <c r="BMZ28" s="25"/>
      <c r="BNA28" s="25"/>
      <c r="BNB28" s="25"/>
      <c r="BNC28" s="25"/>
      <c r="BND28" s="25"/>
      <c r="BNE28" s="25"/>
      <c r="BNF28" s="25"/>
      <c r="BNG28" s="25"/>
      <c r="BNH28" s="25"/>
      <c r="BNI28" s="25"/>
      <c r="BNJ28" s="25"/>
      <c r="BNK28" s="25"/>
      <c r="BNL28" s="25"/>
      <c r="BNM28" s="25"/>
      <c r="BNN28" s="25"/>
      <c r="BNO28" s="25"/>
      <c r="BNP28" s="25"/>
      <c r="BNQ28" s="25"/>
      <c r="BNR28" s="25"/>
      <c r="BNS28" s="25"/>
      <c r="BNT28" s="25"/>
      <c r="BNU28" s="25"/>
      <c r="BNV28" s="25"/>
      <c r="BNW28" s="25"/>
      <c r="BNX28" s="25"/>
      <c r="BNY28" s="25"/>
      <c r="BNZ28" s="25"/>
      <c r="BOA28" s="25"/>
      <c r="BOB28" s="25"/>
      <c r="BOC28" s="25"/>
      <c r="BOD28" s="25"/>
      <c r="BOE28" s="25"/>
      <c r="BOF28" s="25"/>
      <c r="BOG28" s="25"/>
      <c r="BOH28" s="25"/>
      <c r="BOI28" s="25"/>
      <c r="BOJ28" s="25"/>
      <c r="BOK28" s="25"/>
      <c r="BOL28" s="25"/>
      <c r="BOM28" s="25"/>
      <c r="BON28" s="25"/>
    </row>
    <row r="29" ht="18" customHeight="1" spans="1:20">
      <c r="A29" s="16">
        <f t="shared" si="3"/>
        <v>43827</v>
      </c>
      <c r="B29" s="17">
        <v>45</v>
      </c>
      <c r="C29" s="17">
        <v>900</v>
      </c>
      <c r="D29" s="17">
        <v>1050</v>
      </c>
      <c r="E29" s="17">
        <v>42</v>
      </c>
      <c r="F29" s="17">
        <v>890</v>
      </c>
      <c r="G29" s="17">
        <v>1050</v>
      </c>
      <c r="H29" s="17">
        <v>3</v>
      </c>
      <c r="I29" s="17">
        <v>820</v>
      </c>
      <c r="J29" s="17">
        <v>820</v>
      </c>
      <c r="L29" s="17"/>
      <c r="M29" s="17"/>
      <c r="N29" s="17"/>
      <c r="O29" s="17"/>
      <c r="P29" s="17"/>
      <c r="Q29" s="10">
        <v>105</v>
      </c>
      <c r="R29" s="11"/>
      <c r="S29" s="11"/>
      <c r="T29" s="10"/>
    </row>
    <row r="30" ht="18" customHeight="1" spans="1:20">
      <c r="A30" s="9">
        <f t="shared" si="3"/>
        <v>43828</v>
      </c>
      <c r="B30" s="10">
        <v>63</v>
      </c>
      <c r="C30" s="10">
        <v>800</v>
      </c>
      <c r="D30" s="10">
        <v>1060</v>
      </c>
      <c r="E30" s="10">
        <v>60</v>
      </c>
      <c r="F30" s="10">
        <v>850</v>
      </c>
      <c r="G30" s="10">
        <v>1050</v>
      </c>
      <c r="H30" s="10">
        <v>12</v>
      </c>
      <c r="I30" s="10">
        <v>850</v>
      </c>
      <c r="J30" s="10">
        <v>960</v>
      </c>
      <c r="K30" s="10">
        <v>9</v>
      </c>
      <c r="L30" s="10">
        <v>900</v>
      </c>
      <c r="M30" s="10">
        <v>1050</v>
      </c>
      <c r="N30" s="10">
        <v>5</v>
      </c>
      <c r="O30" s="10">
        <v>850</v>
      </c>
      <c r="P30" s="10">
        <v>850</v>
      </c>
      <c r="Q30" s="10">
        <v>149</v>
      </c>
      <c r="R30" s="11"/>
      <c r="S30" s="11"/>
      <c r="T30" s="10"/>
    </row>
    <row r="31" ht="18" customHeight="1" spans="1:20">
      <c r="A31" s="9">
        <f t="shared" si="3"/>
        <v>43829</v>
      </c>
      <c r="B31" s="10">
        <v>54</v>
      </c>
      <c r="C31" s="10">
        <v>750</v>
      </c>
      <c r="D31" s="10">
        <v>1020</v>
      </c>
      <c r="E31" s="10">
        <v>48</v>
      </c>
      <c r="F31" s="10">
        <v>770</v>
      </c>
      <c r="G31" s="10">
        <v>1000</v>
      </c>
      <c r="H31" s="10">
        <v>24</v>
      </c>
      <c r="I31" s="10">
        <v>800</v>
      </c>
      <c r="J31" s="10">
        <v>950</v>
      </c>
      <c r="K31" s="10">
        <v>12</v>
      </c>
      <c r="L31" s="10">
        <v>850</v>
      </c>
      <c r="M31" s="10">
        <v>1000</v>
      </c>
      <c r="N31" s="10">
        <v>6</v>
      </c>
      <c r="O31" s="10">
        <v>800</v>
      </c>
      <c r="P31" s="10">
        <v>820</v>
      </c>
      <c r="Q31" s="10">
        <v>114</v>
      </c>
      <c r="R31" s="11"/>
      <c r="S31" s="11"/>
      <c r="T31" s="10"/>
    </row>
    <row r="32" ht="18" customHeight="1" spans="1:20">
      <c r="A32" s="9">
        <f t="shared" si="3"/>
        <v>43830</v>
      </c>
      <c r="B32" s="10">
        <v>35</v>
      </c>
      <c r="C32" s="10">
        <v>800</v>
      </c>
      <c r="D32" s="10">
        <v>1050</v>
      </c>
      <c r="E32" s="10">
        <v>38</v>
      </c>
      <c r="F32" s="10">
        <v>850</v>
      </c>
      <c r="G32" s="10">
        <v>1020</v>
      </c>
      <c r="H32" s="10">
        <v>15</v>
      </c>
      <c r="I32" s="10">
        <v>900</v>
      </c>
      <c r="J32" s="10">
        <v>1000</v>
      </c>
      <c r="K32" s="10"/>
      <c r="L32" s="10"/>
      <c r="M32" s="10"/>
      <c r="N32" s="10"/>
      <c r="O32" s="10"/>
      <c r="P32" s="10"/>
      <c r="Q32" s="10">
        <v>88</v>
      </c>
      <c r="R32" s="11"/>
      <c r="S32" s="11"/>
      <c r="T32" s="10"/>
    </row>
    <row r="33" ht="18" customHeight="1" spans="1:20">
      <c r="A33" s="18"/>
      <c r="B33" s="19"/>
      <c r="C33" s="20"/>
      <c r="D33" s="20"/>
      <c r="E33" s="19"/>
      <c r="F33" s="20"/>
      <c r="G33" s="20"/>
      <c r="H33" s="19"/>
      <c r="I33" s="20"/>
      <c r="J33" s="20"/>
      <c r="K33" s="19"/>
      <c r="L33" s="20"/>
      <c r="M33" s="20"/>
      <c r="N33" s="19"/>
      <c r="O33" s="20"/>
      <c r="P33" s="20"/>
      <c r="Q33" s="19"/>
      <c r="R33" s="20"/>
      <c r="S33" s="20"/>
      <c r="T33" s="20"/>
    </row>
    <row r="34" ht="15" customHeight="1" spans="1:20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R34" s="6"/>
      <c r="S34" s="6"/>
      <c r="T34" s="6"/>
    </row>
    <row r="35" ht="15" customHeight="1" spans="1:20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ht="15" customHeight="1" spans="1:20">
      <c r="A36" s="6"/>
      <c r="B36" s="6"/>
      <c r="C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ht="15" customHeight="1" spans="1:20">
      <c r="A37" s="6"/>
      <c r="B37" s="6"/>
      <c r="C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ht="15" customHeight="1" spans="1:20">
      <c r="A38" s="6"/>
      <c r="B38" s="6"/>
      <c r="C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ht="15" customHeight="1" spans="1:20">
      <c r="A39" s="6"/>
      <c r="B39" s="6"/>
      <c r="C39" s="6"/>
      <c r="J39" s="22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ht="15" customHeight="1" spans="1:20">
      <c r="A40" s="6"/>
      <c r="B40" s="6"/>
      <c r="C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ht="15" customHeight="1" spans="1:20">
      <c r="A41" s="6"/>
      <c r="B41" s="6"/>
      <c r="C41" s="6"/>
      <c r="D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ht="15" customHeight="1" spans="1:20">
      <c r="A42" s="6"/>
      <c r="B42" s="6"/>
      <c r="C42" s="6"/>
      <c r="D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ht="15" customHeight="1" spans="1:20">
      <c r="A43" s="6"/>
      <c r="B43" s="6"/>
      <c r="C43" s="6"/>
      <c r="D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ht="15" customHeight="1" spans="1:20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ht="15" customHeight="1" spans="1:20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ht="15" customHeight="1" spans="1:20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ht="15" customHeight="1" spans="1:20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ht="15" customHeight="1" spans="1:20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ht="15" customHeight="1" spans="1:20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ht="15" customHeight="1" spans="1:2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ht="15" customHeight="1" spans="1:20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ht="15" customHeight="1" spans="1:20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ht="15" customHeight="1" spans="1:20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ht="15" customHeight="1" spans="1:20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ht="15" customHeight="1" spans="1:20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ht="15" customHeight="1" spans="1:20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ht="15" customHeight="1" spans="1:20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ht="15" customHeight="1" spans="1:20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ht="15" customHeight="1" spans="1:20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ht="15" customHeight="1" spans="1:2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ht="15" customHeight="1" spans="1:20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ht="15" customHeight="1" spans="1:20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ht="15" customHeight="1" spans="1:20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ht="15" customHeight="1" spans="1:20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ht="15" customHeight="1" spans="1:20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ht="15" customHeight="1" spans="1:20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ht="15" customHeight="1" spans="1:20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ht="15" customHeight="1" spans="1:20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ht="15" customHeight="1" spans="1:20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ht="15" customHeight="1" spans="1:2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ht="15" customHeight="1" spans="1:20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ht="15" customHeight="1" spans="1:20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ht="15" customHeight="1" spans="1:20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ht="15" customHeight="1" spans="1:20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ht="15" customHeight="1" spans="3:3">
      <c r="C75" s="6"/>
    </row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</sheetData>
  <printOptions horizontalCentered="1" verticalCentered="1"/>
  <pageMargins left="0.393700787401575" right="0.393700787401575" top="0.393700787401575" bottom="0.393700787401575" header="0.511811023622047" footer="0.511811023622047"/>
  <pageSetup paperSize="9" scale="6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IRESA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Données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hayfa</dc:creator>
  <cp:lastModifiedBy>MSI</cp:lastModifiedBy>
  <dcterms:created xsi:type="dcterms:W3CDTF">2011-12-31T09:20:00Z</dcterms:created>
  <cp:lastPrinted>2019-12-23T09:11:00Z</cp:lastPrinted>
  <dcterms:modified xsi:type="dcterms:W3CDTF">2025-12-29T14:21:55Z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AD9A8B9FB31C4C8185DA3F4E62A6AAB6_12</vt:lpwstr>
  </property>
  <property fmtid="{D5CDD505-2E9C-101B-9397-08002B2CF9AE}" pid="3" name="KSOProductBuildVer">
    <vt:lpwstr>1033-12.2.0.23196</vt:lpwstr>
  </property>
</Properties>
</file>